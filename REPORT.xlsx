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792" yWindow="360" windowWidth="17280" windowHeight="9960" tabRatio="600" firstSheet="0" activeTab="0" autoFilterDateGrouping="1"/>
  </bookViews>
  <sheets>
    <sheet name="EN_REPORT" sheetId="1" state="visible" r:id="rId1"/>
  </sheets>
  <externalReferences>
    <externalReference r:id="rId2"/>
    <externalReference r:id="rId3"/>
  </externalReferences>
  <definedNames>
    <definedName name="_IDR1">[1]Analysis!$G$3</definedName>
    <definedName name="_IDR2">[1]Analysis!$G$3</definedName>
    <definedName name="A_C">[1]Analysis!$G$3</definedName>
    <definedName name="ALT">[1]Analysis!$G$3</definedName>
    <definedName name="FAN">[1]Analysis!$G$3</definedName>
    <definedName name="P_S">[1]Analysis!$G$3</definedName>
    <definedName name="TEN">[1]Analysis!$G$3</definedName>
    <definedName name="W_P">[1]Analysis!$G$3</definedName>
    <definedName name="_xlnm.Print_Titles" localSheetId="0">'EN_REPORT'!$1:$5</definedName>
    <definedName name="_xlnm.Print_Area" localSheetId="0">'EN_REPORT'!$A$1:$AA$337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_ "/>
    <numFmt numFmtId="165" formatCode="0.00_ "/>
    <numFmt numFmtId="166" formatCode=";;;"/>
    <numFmt numFmtId="167" formatCode="0_);[Red]\(0\)"/>
    <numFmt numFmtId="168" formatCode="0.0_ "/>
    <numFmt numFmtId="169" formatCode="0.000_ "/>
    <numFmt numFmtId="170" formatCode="0.0000_ "/>
    <numFmt numFmtId="171" formatCode="0.0_);[Red]\(0.0\)"/>
    <numFmt numFmtId="172" formatCode="#,##0_ "/>
    <numFmt numFmtId="173" formatCode="0.00000_ "/>
    <numFmt numFmtId="174" formatCode="\+0.00;\-0.00;0"/>
    <numFmt numFmtId="175" formatCode="0.00;\-0.00;0.00;"/>
    <numFmt numFmtId="176" formatCode="0.0"/>
  </numFmts>
  <fonts count="4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Times New Roman"/>
      <family val="1"/>
      <sz val="21"/>
    </font>
    <font>
      <name val="Arial"/>
      <family val="2"/>
      <b val="1"/>
      <sz val="22"/>
    </font>
    <font>
      <name val="宋体"/>
      <charset val="134"/>
      <family val="3"/>
      <sz val="9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22"/>
    </font>
    <font>
      <name val="Arial"/>
      <family val="2"/>
      <sz val="10"/>
    </font>
    <font>
      <name val="Arial"/>
      <family val="2"/>
      <sz val="11.5"/>
    </font>
    <font>
      <name val="宋体"/>
      <charset val="134"/>
      <family val="3"/>
      <sz val="14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sz val="20"/>
    </font>
    <font>
      <name val="宋体"/>
      <charset val="134"/>
      <family val="3"/>
      <sz val="12"/>
    </font>
    <font>
      <name val="宋体"/>
      <charset val="134"/>
      <family val="3"/>
      <sz val="22"/>
    </font>
    <font>
      <name val="Arial"/>
      <family val="2"/>
      <sz val="16"/>
    </font>
    <font>
      <name val="Arial"/>
      <family val="2"/>
      <b val="1"/>
      <sz val="15"/>
    </font>
    <font>
      <name val="Arial"/>
      <family val="2"/>
      <b val="1"/>
      <color theme="1"/>
      <sz val="15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12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color rgb="FF00B050"/>
      <sz val="12"/>
    </font>
    <font>
      <name val="Arial"/>
      <family val="2"/>
      <sz val="11"/>
    </font>
    <font>
      <name val="Arial"/>
      <family val="2"/>
      <sz val="13"/>
    </font>
    <font>
      <name val="Arial"/>
      <family val="2"/>
      <color rgb="FF00B050"/>
      <sz val="11"/>
    </font>
    <font>
      <name val="宋体"/>
      <charset val="134"/>
      <family val="3"/>
      <sz val="10"/>
    </font>
    <font>
      <name val="Arial"/>
      <family val="2"/>
      <sz val="10"/>
      <vertAlign val="superscript"/>
    </font>
    <font>
      <name val="Arial"/>
      <family val="2"/>
      <sz val="8"/>
    </font>
    <font>
      <name val="Arial"/>
      <family val="2"/>
      <sz val="6"/>
    </font>
    <font>
      <name val="Times New Roman"/>
      <family val="1"/>
      <sz val="18"/>
    </font>
    <font>
      <name val="Times New Roman"/>
      <family val="1"/>
      <sz val="22"/>
    </font>
    <font>
      <name val="Times New Roman"/>
      <family val="1"/>
      <sz val="14"/>
    </font>
    <font>
      <name val="Times New Roman"/>
      <family val="1"/>
      <sz val="12"/>
    </font>
    <font>
      <name val="Yu Gothic UI Light"/>
      <family val="2"/>
      <sz val="12"/>
    </font>
    <font>
      <name val="Times New Roman"/>
      <family val="1"/>
      <sz val="8"/>
    </font>
    <font>
      <name val="Times New Roman"/>
      <family val="1"/>
      <sz val="6"/>
    </font>
    <font>
      <name val="Times New Roman"/>
      <family val="1"/>
      <color indexed="12"/>
      <sz val="8"/>
    </font>
    <font>
      <name val="Times New Roman"/>
      <family val="1"/>
      <sz val="10"/>
    </font>
    <font>
      <name val="Times New Roman"/>
      <family val="1"/>
      <color theme="0" tint="-0.3499862666707358"/>
      <sz val="12"/>
    </font>
    <font>
      <name val="宋体"/>
      <charset val="134"/>
      <family val="3"/>
      <color theme="0" tint="-0.499984740745262"/>
      <sz val="12"/>
    </font>
    <font>
      <name val="Times New Roman"/>
      <family val="1"/>
      <color theme="0" tint="-0.499984740745262"/>
      <sz val="12"/>
    </font>
    <font>
      <name val="宋体"/>
      <charset val="134"/>
      <family val="3"/>
      <sz val="11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4" fillId="0" borderId="0" applyAlignment="1">
      <alignment vertical="center"/>
    </xf>
  </cellStyleXfs>
  <cellXfs count="564">
    <xf numFmtId="0" fontId="0" fillId="0" borderId="0" applyAlignment="1" pivotButton="0" quotePrefix="0" xfId="0">
      <alignment vertical="center"/>
    </xf>
    <xf numFmtId="0" fontId="14" fillId="2" borderId="1" applyAlignment="1" pivotButton="0" quotePrefix="0" xfId="1">
      <alignment vertical="center"/>
    </xf>
    <xf numFmtId="0" fontId="14" fillId="2" borderId="3" applyAlignment="1" pivotButton="0" quotePrefix="0" xfId="1">
      <alignment vertical="center"/>
    </xf>
    <xf numFmtId="0" fontId="14" fillId="0" borderId="0" applyAlignment="1" pivotButton="0" quotePrefix="0" xfId="1">
      <alignment vertical="center"/>
    </xf>
    <xf numFmtId="0" fontId="31" fillId="0" borderId="0" applyAlignment="1" pivotButton="0" quotePrefix="0" xfId="1">
      <alignment vertical="center" wrapText="1"/>
    </xf>
    <xf numFmtId="0" fontId="32" fillId="0" borderId="0" applyAlignment="1" pivotButton="0" quotePrefix="0" xfId="1">
      <alignment vertical="center" wrapText="1"/>
    </xf>
    <xf numFmtId="0" fontId="14" fillId="2" borderId="4" applyAlignment="1" pivotButton="0" quotePrefix="0" xfId="1">
      <alignment vertical="center"/>
    </xf>
    <xf numFmtId="0" fontId="14" fillId="2" borderId="5" applyAlignment="1" pivotButton="0" quotePrefix="0" xfId="1">
      <alignment vertical="center"/>
    </xf>
    <xf numFmtId="0" fontId="2" fillId="2" borderId="9" applyAlignment="1" pivotButton="0" quotePrefix="0" xfId="1">
      <alignment vertical="center" wrapText="1"/>
    </xf>
    <xf numFmtId="0" fontId="5" fillId="0" borderId="11" applyAlignment="1" pivotButton="0" quotePrefix="0" xfId="1">
      <alignment horizontal="center" vertical="center"/>
    </xf>
    <xf numFmtId="0" fontId="6" fillId="0" borderId="11" applyAlignment="1" pivotButton="0" quotePrefix="0" xfId="1">
      <alignment vertical="center"/>
    </xf>
    <xf numFmtId="49" fontId="5" fillId="2" borderId="11" applyAlignment="1" applyProtection="1" pivotButton="0" quotePrefix="0" xfId="1">
      <alignment vertical="center"/>
      <protection locked="0" hidden="0"/>
    </xf>
    <xf numFmtId="0" fontId="33" fillId="0" borderId="0" applyAlignment="1" pivotButton="0" quotePrefix="0" xfId="1">
      <alignment vertical="center"/>
    </xf>
    <xf numFmtId="14" fontId="33" fillId="0" borderId="0" applyAlignment="1" pivotButton="0" quotePrefix="0" xfId="1">
      <alignment vertical="center"/>
    </xf>
    <xf numFmtId="0" fontId="33" fillId="0" borderId="0" applyAlignment="1" pivotButton="0" quotePrefix="0" xfId="1">
      <alignment horizontal="center" vertical="center"/>
    </xf>
    <xf numFmtId="49" fontId="33" fillId="0" borderId="0" applyAlignment="1" pivotButton="0" quotePrefix="0" xfId="1">
      <alignment vertical="center"/>
    </xf>
    <xf numFmtId="0" fontId="6" fillId="2" borderId="0" applyAlignment="1" pivotButton="0" quotePrefix="0" xfId="1">
      <alignment vertical="center"/>
    </xf>
    <xf numFmtId="0" fontId="34" fillId="0" borderId="0" applyAlignment="1" pivotButton="0" quotePrefix="0" xfId="1">
      <alignment vertical="center"/>
    </xf>
    <xf numFmtId="0" fontId="7" fillId="2" borderId="0" applyAlignment="1" pivotButton="0" quotePrefix="0" xfId="1">
      <alignment horizontal="left" vertical="center"/>
    </xf>
    <xf numFmtId="0" fontId="32" fillId="0" borderId="0" applyAlignment="1" pivotButton="0" quotePrefix="0" xfId="1">
      <alignment vertical="center"/>
    </xf>
    <xf numFmtId="0" fontId="8" fillId="2" borderId="0" applyAlignment="1" applyProtection="1" pivotButton="0" quotePrefix="0" xfId="1">
      <alignment horizontal="left" vertical="center"/>
      <protection locked="0" hidden="0"/>
    </xf>
    <xf numFmtId="0" fontId="14" fillId="0" borderId="5" applyAlignment="1" pivotButton="0" quotePrefix="0" xfId="1">
      <alignment vertical="center"/>
    </xf>
    <xf numFmtId="0" fontId="33" fillId="2" borderId="4" applyAlignment="1" applyProtection="1" pivotButton="0" quotePrefix="0" xfId="1">
      <alignment vertical="center"/>
      <protection locked="0" hidden="0"/>
    </xf>
    <xf numFmtId="0" fontId="33" fillId="2" borderId="0" applyAlignment="1" applyProtection="1" pivotButton="0" quotePrefix="0" xfId="1">
      <alignment vertical="center"/>
      <protection locked="0" hidden="0"/>
    </xf>
    <xf numFmtId="49" fontId="34" fillId="0" borderId="0" applyAlignment="1" pivotButton="0" quotePrefix="0" xfId="1">
      <alignment vertical="center"/>
    </xf>
    <xf numFmtId="0" fontId="13" fillId="2" borderId="0" applyAlignment="1" pivotButton="0" quotePrefix="0" xfId="1">
      <alignment vertical="center"/>
    </xf>
    <xf numFmtId="0" fontId="12" fillId="2" borderId="0" applyAlignment="1" pivotButton="0" quotePrefix="0" xfId="1">
      <alignment vertical="center" wrapText="1"/>
    </xf>
    <xf numFmtId="0" fontId="35" fillId="0" borderId="0" applyAlignment="1" pivotButton="0" quotePrefix="0" xfId="1">
      <alignment vertical="center"/>
    </xf>
    <xf numFmtId="0" fontId="7" fillId="2" borderId="0" applyAlignment="1" pivotButton="0" quotePrefix="0" xfId="1">
      <alignment vertical="center"/>
    </xf>
    <xf numFmtId="0" fontId="8" fillId="2" borderId="0" applyAlignment="1" pivotButton="0" quotePrefix="0" xfId="1">
      <alignment horizontal="left" vertical="center"/>
    </xf>
    <xf numFmtId="0" fontId="16" fillId="2" borderId="0" applyAlignment="1" pivotButton="0" quotePrefix="0" xfId="1">
      <alignment horizontal="left" vertical="center"/>
    </xf>
    <xf numFmtId="0" fontId="6" fillId="2" borderId="10" applyAlignment="1" pivotButton="0" quotePrefix="0" xfId="1">
      <alignment vertical="center"/>
    </xf>
    <xf numFmtId="0" fontId="6" fillId="2" borderId="13" applyAlignment="1" pivotButton="0" quotePrefix="0" xfId="1">
      <alignment vertical="center"/>
    </xf>
    <xf numFmtId="0" fontId="36" fillId="0" borderId="0" applyAlignment="1" pivotButton="0" quotePrefix="0" xfId="1">
      <alignment vertical="center"/>
    </xf>
    <xf numFmtId="0" fontId="37" fillId="0" borderId="0" applyAlignment="1" pivotButton="0" quotePrefix="0" xfId="1">
      <alignment vertical="center"/>
    </xf>
    <xf numFmtId="0" fontId="6" fillId="0" borderId="1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6" fillId="0" borderId="9" applyAlignment="1" pivotButton="0" quotePrefix="0" xfId="1">
      <alignment horizontal="left" vertical="center"/>
    </xf>
    <xf numFmtId="0" fontId="39" fillId="0" borderId="0" applyAlignment="1" pivotButton="0" quotePrefix="0" xfId="1">
      <alignment vertical="center"/>
    </xf>
    <xf numFmtId="0" fontId="36" fillId="0" borderId="0" applyAlignment="1" pivotButton="0" quotePrefix="0" xfId="1">
      <alignment horizontal="center" vertical="center"/>
    </xf>
    <xf numFmtId="0" fontId="6" fillId="2" borderId="11" applyAlignment="1" pivotButton="0" quotePrefix="0" xfId="1">
      <alignment vertical="center"/>
    </xf>
    <xf numFmtId="164" fontId="6" fillId="2" borderId="11" applyAlignment="1" pivotButton="0" quotePrefix="0" xfId="1">
      <alignment horizontal="center" vertical="center"/>
    </xf>
    <xf numFmtId="0" fontId="14" fillId="2" borderId="6" applyAlignment="1" pivotButton="0" quotePrefix="0" xfId="1">
      <alignment vertical="center"/>
    </xf>
    <xf numFmtId="0" fontId="6" fillId="2" borderId="7" applyAlignment="1" pivotButton="0" quotePrefix="0" xfId="1">
      <alignment vertical="center"/>
    </xf>
    <xf numFmtId="0" fontId="6" fillId="0" borderId="7" applyAlignment="1" pivotButton="0" quotePrefix="0" xfId="1">
      <alignment horizontal="center" vertical="center"/>
    </xf>
    <xf numFmtId="165" fontId="6" fillId="0" borderId="7" applyAlignment="1" pivotButton="0" quotePrefix="0" xfId="1">
      <alignment horizontal="center" vertical="center"/>
    </xf>
    <xf numFmtId="0" fontId="14" fillId="2" borderId="8" applyAlignment="1" pivotButton="0" quotePrefix="0" xfId="1">
      <alignment vertical="center"/>
    </xf>
    <xf numFmtId="0" fontId="6" fillId="2" borderId="2" applyAlignment="1" pivotButton="0" quotePrefix="0" xfId="1">
      <alignment vertical="center"/>
    </xf>
    <xf numFmtId="0" fontId="13" fillId="2" borderId="2" applyAlignment="1" pivotButton="0" quotePrefix="0" xfId="1">
      <alignment vertical="center"/>
    </xf>
    <xf numFmtId="165" fontId="6" fillId="0" borderId="2" applyAlignment="1" pivotButton="0" quotePrefix="0" xfId="1">
      <alignment horizontal="center" vertical="center"/>
    </xf>
    <xf numFmtId="165" fontId="6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6" fillId="0" borderId="19" applyAlignment="1" pivotButton="0" quotePrefix="0" xfId="1">
      <alignment vertical="center"/>
    </xf>
    <xf numFmtId="0" fontId="6" fillId="0" borderId="11" applyAlignment="1" pivotButton="0" quotePrefix="0" xfId="1">
      <alignment horizontal="center" vertical="center"/>
    </xf>
    <xf numFmtId="0" fontId="6" fillId="0" borderId="12" applyAlignment="1" pivotButton="0" quotePrefix="0" xfId="1">
      <alignment vertical="center"/>
    </xf>
    <xf numFmtId="165" fontId="6" fillId="0" borderId="14" applyAlignment="1" pivotButton="0" quotePrefix="0" xfId="1">
      <alignment horizontal="right" vertical="center"/>
    </xf>
    <xf numFmtId="0" fontId="6" fillId="0" borderId="15" applyAlignment="1" pivotButton="0" quotePrefix="0" xfId="1">
      <alignment vertical="center"/>
    </xf>
    <xf numFmtId="166" fontId="34" fillId="0" borderId="0" applyAlignment="1" pivotButton="0" quotePrefix="0" xfId="1">
      <alignment horizontal="center" vertical="center"/>
    </xf>
    <xf numFmtId="0" fontId="38" fillId="0" borderId="0" applyAlignment="1" pivotButton="0" quotePrefix="0" xfId="1">
      <alignment vertical="center"/>
    </xf>
    <xf numFmtId="165" fontId="6" fillId="2" borderId="0" applyAlignment="1" pivotButton="0" quotePrefix="0" xfId="1">
      <alignment vertical="center"/>
    </xf>
    <xf numFmtId="0" fontId="6" fillId="2" borderId="9" applyAlignment="1" pivotButton="0" quotePrefix="0" xfId="1">
      <alignment vertical="center"/>
    </xf>
    <xf numFmtId="0" fontId="23" fillId="2" borderId="11" applyAlignment="1" pivotButton="0" quotePrefix="0" xfId="1">
      <alignment vertical="center"/>
    </xf>
    <xf numFmtId="0" fontId="6" fillId="2" borderId="0" applyAlignment="1" pivotButton="0" quotePrefix="0" xfId="1">
      <alignment horizontal="left" vertical="center"/>
    </xf>
    <xf numFmtId="165" fontId="24" fillId="0" borderId="10" applyAlignment="1" pivotButton="0" quotePrefix="0" xfId="1">
      <alignment vertical="center"/>
    </xf>
    <xf numFmtId="165" fontId="24" fillId="0" borderId="11" applyAlignment="1" pivotButton="0" quotePrefix="0" xfId="1">
      <alignment vertical="center"/>
    </xf>
    <xf numFmtId="164" fontId="24" fillId="0" borderId="11" applyAlignment="1" pivotButton="0" quotePrefix="0" xfId="1">
      <alignment vertical="center"/>
    </xf>
    <xf numFmtId="0" fontId="39" fillId="0" borderId="0" applyAlignment="1" pivotButton="0" quotePrefix="0" xfId="1">
      <alignment horizontal="center" vertical="center"/>
    </xf>
    <xf numFmtId="166" fontId="34" fillId="0" borderId="0" applyAlignment="1" pivotButton="0" quotePrefix="0" xfId="1">
      <alignment vertical="center"/>
    </xf>
    <xf numFmtId="165" fontId="34" fillId="0" borderId="0" applyAlignment="1" pivotButton="0" quotePrefix="0" xfId="1">
      <alignment vertical="center"/>
    </xf>
    <xf numFmtId="167" fontId="34" fillId="0" borderId="0" applyAlignment="1" pivotButton="0" quotePrefix="0" xfId="1">
      <alignment vertical="center"/>
    </xf>
    <xf numFmtId="167" fontId="40" fillId="0" borderId="0" applyAlignment="1" pivotButton="0" quotePrefix="0" xfId="1">
      <alignment vertical="center"/>
    </xf>
    <xf numFmtId="0" fontId="41" fillId="0" borderId="0" applyAlignment="1" pivotButton="0" quotePrefix="0" xfId="1">
      <alignment vertical="center"/>
    </xf>
    <xf numFmtId="0" fontId="6" fillId="2" borderId="0" applyAlignment="1" pivotButton="0" quotePrefix="0" xfId="1">
      <alignment horizontal="center" vertical="center"/>
    </xf>
    <xf numFmtId="165" fontId="6" fillId="2" borderId="0" applyAlignment="1" pivotButton="0" quotePrefix="0" xfId="1">
      <alignment horizontal="center" vertical="center"/>
    </xf>
    <xf numFmtId="168" fontId="6" fillId="2" borderId="0" applyAlignment="1" pivotButton="0" quotePrefix="0" xfId="1">
      <alignment horizontal="center" vertical="center"/>
    </xf>
    <xf numFmtId="166" fontId="42" fillId="0" borderId="0" applyAlignment="1" pivotButton="0" quotePrefix="0" xfId="1">
      <alignment vertical="center"/>
    </xf>
    <xf numFmtId="0" fontId="16" fillId="2" borderId="0" applyAlignment="1" pivotButton="0" quotePrefix="0" xfId="1">
      <alignment vertical="center"/>
    </xf>
    <xf numFmtId="0" fontId="6" fillId="2" borderId="0" applyAlignment="1" pivotButton="0" quotePrefix="0" xfId="1">
      <alignment vertical="top" wrapText="1"/>
    </xf>
    <xf numFmtId="0" fontId="43" fillId="0" borderId="0" applyAlignment="1" pivotButton="0" quotePrefix="0" xfId="1">
      <alignment vertical="center"/>
    </xf>
    <xf numFmtId="0" fontId="16" fillId="2" borderId="5" applyAlignment="1" pivotButton="0" quotePrefix="0" xfId="1">
      <alignment vertical="center"/>
    </xf>
    <xf numFmtId="0" fontId="34" fillId="0" borderId="0" applyAlignment="1" pivotButton="0" quotePrefix="0" xfId="1">
      <alignment horizontal="center" vertical="center"/>
    </xf>
    <xf numFmtId="169" fontId="6" fillId="2" borderId="0" applyAlignment="1" pivotButton="0" quotePrefix="0" xfId="1">
      <alignment horizontal="center" vertical="center"/>
    </xf>
    <xf numFmtId="0" fontId="6" fillId="2" borderId="0" applyAlignment="1" pivotButton="0" quotePrefix="0" xfId="1">
      <alignment horizontal="left" vertical="top" wrapText="1"/>
    </xf>
    <xf numFmtId="0" fontId="16" fillId="2" borderId="0" applyAlignment="1" pivotButton="0" quotePrefix="0" xfId="1">
      <alignment horizontal="center" vertical="center"/>
    </xf>
    <xf numFmtId="165" fontId="16" fillId="0" borderId="0" applyAlignment="1" pivotButton="0" quotePrefix="0" xfId="1">
      <alignment horizontal="center" vertical="center"/>
    </xf>
    <xf numFmtId="165" fontId="16" fillId="2" borderId="0" applyAlignment="1" pivotButton="0" quotePrefix="0" xfId="1">
      <alignment horizontal="center" vertical="center"/>
    </xf>
    <xf numFmtId="0" fontId="8" fillId="2" borderId="0" applyAlignment="1" pivotButton="0" quotePrefix="0" xfId="1">
      <alignment vertical="top" wrapText="1"/>
    </xf>
    <xf numFmtId="0" fontId="7" fillId="2" borderId="2" applyAlignment="1" pivotButton="0" quotePrefix="0" xfId="1">
      <alignment vertical="center"/>
    </xf>
    <xf numFmtId="0" fontId="8" fillId="2" borderId="0" applyAlignment="1" pivotButton="0" quotePrefix="0" xfId="1">
      <alignment vertical="center"/>
    </xf>
    <xf numFmtId="168" fontId="8" fillId="2" borderId="0" applyAlignment="1" pivotButton="0" quotePrefix="0" xfId="1">
      <alignment vertical="center"/>
    </xf>
    <xf numFmtId="0" fontId="8" fillId="2" borderId="7" applyAlignment="1" pivotButton="0" quotePrefix="0" xfId="1">
      <alignment vertical="center"/>
    </xf>
    <xf numFmtId="165" fontId="5" fillId="2" borderId="0" applyAlignment="1" pivotButton="0" quotePrefix="0" xfId="1">
      <alignment horizontal="center" vertical="center"/>
    </xf>
    <xf numFmtId="0" fontId="12" fillId="2" borderId="12" applyAlignment="1" pivotButton="0" quotePrefix="0" xfId="1">
      <alignment horizontal="center" vertical="center"/>
    </xf>
    <xf numFmtId="1" fontId="12" fillId="0" borderId="12" applyAlignment="1" pivotButton="0" quotePrefix="0" xfId="1">
      <alignment horizontal="center" vertical="center"/>
    </xf>
    <xf numFmtId="0" fontId="12" fillId="0" borderId="12" applyAlignment="1" pivotButton="0" quotePrefix="0" xfId="1">
      <alignment horizontal="center" vertical="center"/>
    </xf>
    <xf numFmtId="168" fontId="12" fillId="0" borderId="12" applyAlignment="1" pivotButton="0" quotePrefix="0" xfId="1">
      <alignment horizontal="center" vertical="center"/>
    </xf>
    <xf numFmtId="1" fontId="12" fillId="2" borderId="12" applyAlignment="1" pivotButton="0" quotePrefix="0" xfId="1">
      <alignment horizontal="center" vertical="center"/>
    </xf>
    <xf numFmtId="168" fontId="12" fillId="2" borderId="12" applyAlignment="1" pivotButton="0" quotePrefix="0" xfId="1">
      <alignment horizontal="center" vertical="center"/>
    </xf>
    <xf numFmtId="0" fontId="6" fillId="2" borderId="16" applyAlignment="1" pivotButton="0" quotePrefix="0" xfId="1">
      <alignment vertical="center"/>
    </xf>
    <xf numFmtId="0" fontId="6" fillId="2" borderId="18" applyAlignment="1" pivotButton="0" quotePrefix="0" xfId="1">
      <alignment vertical="center"/>
    </xf>
    <xf numFmtId="0" fontId="6" fillId="2" borderId="17" applyAlignment="1" pivotButton="0" quotePrefix="0" xfId="1">
      <alignment vertical="center"/>
    </xf>
    <xf numFmtId="0" fontId="6" fillId="2" borderId="20" applyAlignment="1" pivotButton="0" quotePrefix="0" xfId="1">
      <alignment vertical="center"/>
    </xf>
    <xf numFmtId="0" fontId="6" fillId="2" borderId="15" applyAlignment="1" pivotButton="0" quotePrefix="0" xfId="1">
      <alignment vertical="center"/>
    </xf>
    <xf numFmtId="0" fontId="6" fillId="0" borderId="21" applyAlignment="1" pivotButton="0" quotePrefix="0" xfId="1">
      <alignment vertical="center"/>
    </xf>
    <xf numFmtId="0" fontId="6" fillId="2" borderId="19" applyAlignment="1" pivotButton="0" quotePrefix="0" xfId="1">
      <alignment vertical="center"/>
    </xf>
    <xf numFmtId="0" fontId="6" fillId="2" borderId="14" applyAlignment="1" pivotButton="0" quotePrefix="0" xfId="1">
      <alignment vertical="center"/>
    </xf>
    <xf numFmtId="0" fontId="6" fillId="0" borderId="13" applyAlignment="1" pivotButton="0" quotePrefix="0" xfId="1">
      <alignment vertical="center"/>
    </xf>
    <xf numFmtId="0" fontId="24" fillId="0" borderId="11" applyAlignment="1" pivotButton="0" quotePrefix="0" xfId="1">
      <alignment horizontal="center" vertical="center"/>
    </xf>
    <xf numFmtId="0" fontId="6" fillId="0" borderId="9" applyAlignment="1" pivotButton="0" quotePrefix="0" xfId="1">
      <alignment vertical="center"/>
    </xf>
    <xf numFmtId="0" fontId="8" fillId="0" borderId="0" applyAlignment="1" pivotButton="0" quotePrefix="0" xfId="1">
      <alignment horizontal="left" vertical="center"/>
    </xf>
    <xf numFmtId="165" fontId="6" fillId="0" borderId="0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0" fontId="8" fillId="2" borderId="12" applyAlignment="1" pivotButton="0" quotePrefix="0" xfId="1">
      <alignment horizontal="center" vertical="center"/>
    </xf>
    <xf numFmtId="0" fontId="8" fillId="0" borderId="12" applyAlignment="1" pivotButton="0" quotePrefix="0" xfId="1">
      <alignment horizontal="center" vertical="center"/>
    </xf>
    <xf numFmtId="1" fontId="8" fillId="0" borderId="12" applyAlignment="1" pivotButton="0" quotePrefix="0" xfId="1">
      <alignment horizontal="center" vertical="center"/>
    </xf>
    <xf numFmtId="0" fontId="8" fillId="0" borderId="7" applyAlignment="1" pivotButton="0" quotePrefix="0" xfId="1">
      <alignment horizontal="center" vertical="center"/>
    </xf>
    <xf numFmtId="165" fontId="8" fillId="0" borderId="7" applyAlignment="1" pivotButton="0" quotePrefix="0" xfId="1">
      <alignment horizontal="center" vertical="center"/>
    </xf>
    <xf numFmtId="164" fontId="8" fillId="0" borderId="7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168" fontId="8" fillId="0" borderId="0" applyAlignment="1" pivotButton="0" quotePrefix="0" xfId="1">
      <alignment horizontal="center" vertical="center"/>
    </xf>
    <xf numFmtId="0" fontId="8" fillId="0" borderId="19" applyAlignment="1" pivotButton="0" quotePrefix="0" xfId="1">
      <alignment horizontal="center" vertical="center"/>
    </xf>
    <xf numFmtId="164" fontId="8" fillId="0" borderId="12" applyAlignment="1" pivotButton="0" quotePrefix="0" xfId="1">
      <alignment horizontal="center" vertical="center"/>
    </xf>
    <xf numFmtId="165" fontId="8" fillId="2" borderId="0" applyAlignment="1" pivotButton="0" quotePrefix="0" xfId="1">
      <alignment horizontal="center" vertical="center"/>
    </xf>
    <xf numFmtId="0" fontId="8" fillId="2" borderId="0" applyAlignment="1" pivotButton="0" quotePrefix="0" xfId="1">
      <alignment horizontal="center" vertical="center"/>
    </xf>
    <xf numFmtId="171" fontId="8" fillId="2" borderId="0" applyAlignment="1" pivotButton="0" quotePrefix="0" xfId="1">
      <alignment horizontal="center" vertical="top" wrapText="1"/>
    </xf>
    <xf numFmtId="168" fontId="8" fillId="2" borderId="0" applyAlignment="1" pivotButton="0" quotePrefix="0" xfId="1">
      <alignment horizontal="center" vertical="top" wrapText="1"/>
    </xf>
    <xf numFmtId="0" fontId="8" fillId="2" borderId="0" applyAlignment="1" applyProtection="1" pivotButton="0" quotePrefix="0" xfId="1">
      <alignment horizontal="center" vertical="top" wrapText="1"/>
      <protection locked="0" hidden="0"/>
    </xf>
    <xf numFmtId="0" fontId="8" fillId="2" borderId="0" applyAlignment="1" pivotButton="0" quotePrefix="0" xfId="1">
      <alignment vertical="center" wrapText="1"/>
    </xf>
    <xf numFmtId="164" fontId="34" fillId="0" borderId="0" applyAlignment="1" pivotButton="0" quotePrefix="0" xfId="1">
      <alignment vertical="center"/>
    </xf>
    <xf numFmtId="165" fontId="8" fillId="2" borderId="7" applyAlignment="1" pivotButton="0" quotePrefix="0" xfId="1">
      <alignment horizontal="center" vertical="center"/>
    </xf>
    <xf numFmtId="164" fontId="8" fillId="2" borderId="7" applyAlignment="1" pivotButton="0" quotePrefix="0" xfId="1">
      <alignment horizontal="center" vertical="center"/>
    </xf>
    <xf numFmtId="0" fontId="8" fillId="2" borderId="7" applyAlignment="1" pivotButton="0" quotePrefix="0" xfId="1">
      <alignment horizontal="center" vertical="center"/>
    </xf>
    <xf numFmtId="168" fontId="8" fillId="2" borderId="7" applyAlignment="1" applyProtection="1" pivotButton="0" quotePrefix="0" xfId="1">
      <alignment horizontal="center" vertical="center"/>
      <protection locked="0" hidden="0"/>
    </xf>
    <xf numFmtId="165" fontId="8" fillId="2" borderId="2" applyAlignment="1" pivotButton="0" quotePrefix="0" xfId="1">
      <alignment horizontal="center" vertical="center"/>
    </xf>
    <xf numFmtId="164" fontId="8" fillId="2" borderId="2" applyAlignment="1" pivotButton="0" quotePrefix="0" xfId="1">
      <alignment horizontal="center" vertical="center"/>
    </xf>
    <xf numFmtId="0" fontId="8" fillId="2" borderId="2" applyAlignment="1" pivotButton="0" quotePrefix="0" xfId="1">
      <alignment horizontal="center" vertical="center"/>
    </xf>
    <xf numFmtId="168" fontId="8" fillId="2" borderId="2" applyAlignment="1" applyProtection="1" pivotButton="0" quotePrefix="0" xfId="1">
      <alignment horizontal="center" vertical="center"/>
      <protection locked="0" hidden="0"/>
    </xf>
    <xf numFmtId="164" fontId="8" fillId="2" borderId="0" applyAlignment="1" pivotButton="0" quotePrefix="0" xfId="1">
      <alignment horizontal="center" vertical="center"/>
    </xf>
    <xf numFmtId="168" fontId="8" fillId="2" borderId="0" applyAlignment="1" applyProtection="1" pivotButton="0" quotePrefix="0" xfId="1">
      <alignment horizontal="center" vertical="center"/>
      <protection locked="0" hidden="0"/>
    </xf>
    <xf numFmtId="0" fontId="24" fillId="2" borderId="9" applyAlignment="1" pivotButton="0" quotePrefix="0" xfId="1">
      <alignment vertical="center"/>
    </xf>
    <xf numFmtId="0" fontId="24" fillId="0" borderId="11" applyAlignment="1" pivotButton="0" quotePrefix="0" xfId="1">
      <alignment vertical="center"/>
    </xf>
    <xf numFmtId="165" fontId="6" fillId="2" borderId="7" applyAlignment="1" pivotButton="0" quotePrefix="0" xfId="1">
      <alignment vertical="center" wrapText="1"/>
    </xf>
    <xf numFmtId="0" fontId="14" fillId="2" borderId="0" applyAlignment="1" pivotButton="0" quotePrefix="0" xfId="1">
      <alignment vertical="center"/>
    </xf>
    <xf numFmtId="0" fontId="6" fillId="0" borderId="10" applyAlignment="1" pivotButton="0" quotePrefix="0" xfId="1">
      <alignment horizontal="center" vertical="center"/>
    </xf>
    <xf numFmtId="0" fontId="6" fillId="0" borderId="11" applyAlignment="1" pivotButton="0" quotePrefix="0" xfId="1">
      <alignment horizontal="center" vertical="center"/>
    </xf>
    <xf numFmtId="0" fontId="24" fillId="0" borderId="10" applyAlignment="1" pivotButton="0" quotePrefix="0" xfId="1">
      <alignment horizontal="right" vertical="center"/>
    </xf>
    <xf numFmtId="0" fontId="24" fillId="0" borderId="11" applyAlignment="1" pivotButton="0" quotePrefix="0" xfId="1">
      <alignment horizontal="right" vertical="center"/>
    </xf>
    <xf numFmtId="0" fontId="6" fillId="0" borderId="13" applyAlignment="1" pivotButton="0" quotePrefix="0" xfId="1">
      <alignment horizontal="center" vertical="center"/>
    </xf>
    <xf numFmtId="165" fontId="6" fillId="2" borderId="0" applyAlignment="1" pivotButton="0" quotePrefix="0" xfId="1">
      <alignment horizontal="right" vertical="center" wrapText="1"/>
    </xf>
    <xf numFmtId="165" fontId="9" fillId="2" borderId="0" applyAlignment="1" pivotButton="0" quotePrefix="0" xfId="1">
      <alignment horizontal="left" vertical="center" wrapText="1"/>
    </xf>
    <xf numFmtId="165" fontId="6" fillId="2" borderId="0" applyAlignment="1" pivotButton="0" quotePrefix="0" xfId="1">
      <alignment horizontal="left" vertical="center" wrapText="1"/>
    </xf>
    <xf numFmtId="165" fontId="9" fillId="2" borderId="7" applyAlignment="1" pivotButton="0" quotePrefix="0" xfId="1">
      <alignment horizontal="left" vertical="center" wrapText="1"/>
    </xf>
    <xf numFmtId="165" fontId="6" fillId="2" borderId="7" applyAlignment="1" pivotButton="0" quotePrefix="0" xfId="1">
      <alignment horizontal="left" vertical="center" wrapText="1"/>
    </xf>
    <xf numFmtId="170" fontId="24" fillId="0" borderId="10" applyAlignment="1" pivotButton="0" quotePrefix="0" xfId="1">
      <alignment horizontal="center" vertical="center"/>
    </xf>
    <xf numFmtId="170" fontId="24" fillId="0" borderId="11" applyAlignment="1" pivotButton="0" quotePrefix="0" xfId="1">
      <alignment horizontal="center" vertical="center"/>
    </xf>
    <xf numFmtId="165" fontId="6" fillId="0" borderId="16" applyAlignment="1" pivotButton="0" quotePrefix="0" xfId="1">
      <alignment horizontal="center" vertical="center"/>
    </xf>
    <xf numFmtId="165" fontId="6" fillId="0" borderId="18" applyAlignment="1" pivotButton="0" quotePrefix="0" xfId="1">
      <alignment horizontal="center" vertical="center"/>
    </xf>
    <xf numFmtId="165" fontId="6" fillId="0" borderId="12" applyAlignment="1" pivotButton="0" quotePrefix="0" xfId="1">
      <alignment horizontal="center" vertical="center"/>
    </xf>
    <xf numFmtId="165" fontId="6" fillId="0" borderId="10" applyAlignment="1" pivotButton="0" quotePrefix="0" xfId="1">
      <alignment horizontal="center" vertical="center"/>
    </xf>
    <xf numFmtId="165" fontId="6" fillId="0" borderId="11" applyAlignment="1" pivotButton="0" quotePrefix="0" xfId="1">
      <alignment horizontal="center" vertical="center"/>
    </xf>
    <xf numFmtId="165" fontId="6" fillId="0" borderId="13" applyAlignment="1" pivotButton="0" quotePrefix="0" xfId="1">
      <alignment horizontal="center" vertical="center"/>
    </xf>
    <xf numFmtId="0" fontId="24" fillId="0" borderId="12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/>
    </xf>
    <xf numFmtId="0" fontId="7" fillId="2" borderId="0" applyAlignment="1" pivotButton="0" quotePrefix="0" xfId="1">
      <alignment horizontal="left" vertical="center"/>
    </xf>
    <xf numFmtId="0" fontId="16" fillId="2" borderId="0" applyAlignment="1" pivotButton="0" quotePrefix="0" xfId="1">
      <alignment horizontal="left" vertical="center"/>
    </xf>
    <xf numFmtId="0" fontId="5" fillId="0" borderId="19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6" fillId="0" borderId="9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6" fillId="0" borderId="20" applyAlignment="1" pivotButton="0" quotePrefix="0" xfId="1">
      <alignment horizontal="center" vertical="center"/>
    </xf>
    <xf numFmtId="168" fontId="6" fillId="0" borderId="10" applyAlignment="1" pivotButton="0" quotePrefix="0" xfId="1">
      <alignment horizontal="center" vertical="center"/>
    </xf>
    <xf numFmtId="168" fontId="6" fillId="0" borderId="11" applyAlignment="1" pivotButton="0" quotePrefix="0" xfId="1">
      <alignment horizontal="center" vertical="center"/>
    </xf>
    <xf numFmtId="168" fontId="6" fillId="0" borderId="13" applyAlignment="1" pivotButton="0" quotePrefix="0" xfId="1">
      <alignment horizontal="center" vertical="center"/>
    </xf>
    <xf numFmtId="0" fontId="12" fillId="2" borderId="16" applyAlignment="1" pivotButton="0" quotePrefix="0" xfId="1">
      <alignment horizontal="center" vertical="top" wrapText="1"/>
    </xf>
    <xf numFmtId="0" fontId="12" fillId="2" borderId="17" applyAlignment="1" pivotButton="0" quotePrefix="0" xfId="1">
      <alignment horizontal="center" vertical="top" wrapText="1"/>
    </xf>
    <xf numFmtId="0" fontId="12" fillId="2" borderId="14" applyAlignment="1" pivotButton="0" quotePrefix="0" xfId="1">
      <alignment horizontal="center" vertical="top" wrapText="1"/>
    </xf>
    <xf numFmtId="0" fontId="12" fillId="2" borderId="15" applyAlignment="1" pivotButton="0" quotePrefix="0" xfId="1">
      <alignment horizontal="center" vertical="top" wrapText="1"/>
    </xf>
    <xf numFmtId="0" fontId="12" fillId="2" borderId="18" applyAlignment="1" pivotButton="0" quotePrefix="0" xfId="1">
      <alignment horizontal="center" vertical="top" wrapText="1"/>
    </xf>
    <xf numFmtId="0" fontId="12" fillId="2" borderId="9" applyAlignment="1" pivotButton="0" quotePrefix="0" xfId="1">
      <alignment horizontal="center" vertical="top" wrapText="1"/>
    </xf>
    <xf numFmtId="0" fontId="8" fillId="2" borderId="16" applyAlignment="1" pivotButton="0" quotePrefix="0" xfId="1">
      <alignment horizontal="center" vertical="top" wrapText="1"/>
    </xf>
    <xf numFmtId="0" fontId="8" fillId="2" borderId="17" applyAlignment="1" pivotButton="0" quotePrefix="0" xfId="1">
      <alignment horizontal="center" vertical="top" wrapText="1"/>
    </xf>
    <xf numFmtId="0" fontId="8" fillId="2" borderId="14" applyAlignment="1" pivotButton="0" quotePrefix="0" xfId="1">
      <alignment horizontal="center" vertical="top" wrapText="1"/>
    </xf>
    <xf numFmtId="0" fontId="8" fillId="2" borderId="15" applyAlignment="1" pivotButton="0" quotePrefix="0" xfId="1">
      <alignment horizontal="center" vertical="top" wrapText="1"/>
    </xf>
    <xf numFmtId="0" fontId="24" fillId="4" borderId="12" applyAlignment="1" pivotButton="0" quotePrefix="0" xfId="1">
      <alignment horizontal="center" vertical="top" wrapText="1"/>
    </xf>
    <xf numFmtId="168" fontId="24" fillId="4" borderId="12" applyAlignment="1" pivotButton="0" quotePrefix="0" xfId="1">
      <alignment horizontal="center" vertical="top" wrapText="1"/>
    </xf>
    <xf numFmtId="172" fontId="24" fillId="5" borderId="12" applyAlignment="1" pivotButton="0" quotePrefix="0" xfId="1">
      <alignment horizontal="center" vertical="top" wrapText="1"/>
    </xf>
    <xf numFmtId="0" fontId="8" fillId="4" borderId="12" applyAlignment="1" pivotButton="0" quotePrefix="0" xfId="1">
      <alignment horizontal="center" vertical="center"/>
    </xf>
    <xf numFmtId="171" fontId="8" fillId="4" borderId="12" applyAlignment="1" pivotButton="0" quotePrefix="0" xfId="1">
      <alignment horizontal="center" vertical="top" wrapText="1"/>
    </xf>
    <xf numFmtId="168" fontId="8" fillId="5" borderId="12" applyAlignment="1" pivotButton="0" quotePrefix="0" xfId="1">
      <alignment horizontal="center" vertical="top" wrapText="1"/>
    </xf>
    <xf numFmtId="0" fontId="8" fillId="4" borderId="12" applyAlignment="1" pivotButton="0" quotePrefix="0" xfId="1">
      <alignment horizontal="center" vertical="top" wrapText="1"/>
    </xf>
    <xf numFmtId="0" fontId="8" fillId="2" borderId="0" applyAlignment="1" pivotButton="0" quotePrefix="0" xfId="1">
      <alignment horizontal="left" vertical="top" wrapText="1"/>
    </xf>
    <xf numFmtId="0" fontId="16" fillId="2" borderId="0" applyAlignment="1" pivotButton="0" quotePrefix="0" xfId="1">
      <alignment horizontal="left" vertical="center" wrapText="1"/>
    </xf>
    <xf numFmtId="0" fontId="16" fillId="2" borderId="9" applyAlignment="1" pivotButton="0" quotePrefix="0" xfId="1">
      <alignment horizontal="left" vertical="center" wrapText="1"/>
    </xf>
    <xf numFmtId="0" fontId="16" fillId="2" borderId="18" applyAlignment="1" pivotButton="0" quotePrefix="0" xfId="1">
      <alignment horizontal="left" vertical="center"/>
    </xf>
    <xf numFmtId="0" fontId="16" fillId="2" borderId="9" applyAlignment="1" pivotButton="0" quotePrefix="0" xfId="1">
      <alignment horizontal="left" vertical="center"/>
    </xf>
    <xf numFmtId="165" fontId="6" fillId="2" borderId="18" applyAlignment="1" pivotButton="0" quotePrefix="0" xfId="1">
      <alignment horizontal="center" vertical="center"/>
    </xf>
    <xf numFmtId="0" fontId="8" fillId="2" borderId="10" applyAlignment="1" pivotButton="0" quotePrefix="0" xfId="1">
      <alignment horizontal="center" vertical="center"/>
    </xf>
    <xf numFmtId="0" fontId="8" fillId="2" borderId="13" applyAlignment="1" pivotButton="0" quotePrefix="0" xfId="1">
      <alignment horizontal="center" vertical="center"/>
    </xf>
    <xf numFmtId="0" fontId="8" fillId="2" borderId="10" applyAlignment="1" pivotButton="0" quotePrefix="0" xfId="1">
      <alignment horizontal="center" vertical="top" wrapText="1"/>
    </xf>
    <xf numFmtId="0" fontId="8" fillId="2" borderId="11" applyAlignment="1" pivotButton="0" quotePrefix="0" xfId="1">
      <alignment horizontal="center" vertical="top" wrapText="1"/>
    </xf>
    <xf numFmtId="0" fontId="8" fillId="2" borderId="13" applyAlignment="1" pivotButton="0" quotePrefix="0" xfId="1">
      <alignment horizontal="center" vertical="top" wrapText="1"/>
    </xf>
    <xf numFmtId="0" fontId="12" fillId="0" borderId="12" applyAlignment="1" pivotButton="0" quotePrefix="0" xfId="1">
      <alignment horizontal="center" vertical="center"/>
    </xf>
    <xf numFmtId="165" fontId="12" fillId="0" borderId="12" applyAlignment="1" pivotButton="0" quotePrefix="0" xfId="1">
      <alignment horizontal="center" vertical="center"/>
    </xf>
    <xf numFmtId="0" fontId="8" fillId="0" borderId="12" applyAlignment="1" pivotButton="0" quotePrefix="0" xfId="1">
      <alignment horizontal="center" vertical="center"/>
    </xf>
    <xf numFmtId="165" fontId="8" fillId="0" borderId="12" applyAlignment="1" pivotButton="0" quotePrefix="0" xfId="1">
      <alignment horizontal="center" vertical="center"/>
    </xf>
    <xf numFmtId="165" fontId="12" fillId="0" borderId="10" applyAlignment="1" pivotButton="0" quotePrefix="0" xfId="1">
      <alignment horizontal="center" vertical="center"/>
    </xf>
    <xf numFmtId="165" fontId="12" fillId="0" borderId="13" applyAlignment="1" pivotButton="0" quotePrefix="0" xfId="1">
      <alignment horizontal="center" vertical="center"/>
    </xf>
    <xf numFmtId="0" fontId="8" fillId="2" borderId="0" applyAlignment="1" pivotButton="0" quotePrefix="0" xfId="1">
      <alignment horizontal="right" vertical="center"/>
    </xf>
    <xf numFmtId="168" fontId="12" fillId="0" borderId="10" applyAlignment="1" pivotButton="0" quotePrefix="0" xfId="1">
      <alignment horizontal="center" vertical="center"/>
    </xf>
    <xf numFmtId="168" fontId="12" fillId="0" borderId="13" applyAlignment="1" pivotButton="0" quotePrefix="0" xfId="1">
      <alignment horizontal="center" vertical="center"/>
    </xf>
    <xf numFmtId="165" fontId="8" fillId="2" borderId="0" applyAlignment="1" pivotButton="0" quotePrefix="0" xfId="1">
      <alignment horizontal="right" vertical="center"/>
    </xf>
    <xf numFmtId="165" fontId="8" fillId="2" borderId="20" applyAlignment="1" pivotButton="0" quotePrefix="0" xfId="1">
      <alignment horizontal="right" vertical="center"/>
    </xf>
    <xf numFmtId="164" fontId="12" fillId="0" borderId="10" applyAlignment="1" pivotButton="0" quotePrefix="0" xfId="1">
      <alignment horizontal="center" vertical="center"/>
    </xf>
    <xf numFmtId="164" fontId="12" fillId="0" borderId="13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12" fillId="0" borderId="13" applyAlignment="1" pivotButton="0" quotePrefix="0" xfId="1">
      <alignment horizontal="center" vertical="center"/>
    </xf>
    <xf numFmtId="0" fontId="7" fillId="2" borderId="2" applyAlignment="1" pivotButton="0" quotePrefix="0" xfId="1">
      <alignment horizontal="left" vertical="center"/>
    </xf>
    <xf numFmtId="0" fontId="8" fillId="0" borderId="12" applyAlignment="1" pivotButton="0" quotePrefix="0" xfId="1">
      <alignment horizontal="center" vertical="center" wrapText="1"/>
    </xf>
    <xf numFmtId="0" fontId="8" fillId="0" borderId="10" applyAlignment="1" pivotButton="0" quotePrefix="0" xfId="1">
      <alignment horizontal="center" vertical="center" wrapText="1"/>
    </xf>
    <xf numFmtId="0" fontId="8" fillId="0" borderId="13" applyAlignment="1" pivotButton="0" quotePrefix="0" xfId="1">
      <alignment horizontal="center" vertical="center" wrapText="1"/>
    </xf>
    <xf numFmtId="164" fontId="12" fillId="0" borderId="12" applyAlignment="1" pivotButton="0" quotePrefix="0" xfId="1">
      <alignment horizontal="center" vertical="center"/>
    </xf>
    <xf numFmtId="0" fontId="12" fillId="2" borderId="12" applyAlignment="1" pivotButton="0" quotePrefix="0" xfId="1">
      <alignment horizontal="center" vertical="center"/>
    </xf>
    <xf numFmtId="170" fontId="24" fillId="0" borderId="0" applyAlignment="1" pivotButton="0" quotePrefix="0" xfId="1">
      <alignment horizontal="center" vertical="center"/>
    </xf>
    <xf numFmtId="0" fontId="6" fillId="0" borderId="10" applyAlignment="1" pivotButton="0" quotePrefix="0" xfId="1">
      <alignment horizontal="right" vertical="center"/>
    </xf>
    <xf numFmtId="0" fontId="6" fillId="0" borderId="11" applyAlignment="1" pivotButton="0" quotePrefix="0" xfId="1">
      <alignment horizontal="right" vertical="center"/>
    </xf>
    <xf numFmtId="0" fontId="6" fillId="0" borderId="11" applyAlignment="1" pivotButton="0" quotePrefix="0" xfId="1">
      <alignment horizontal="left" vertical="center"/>
    </xf>
    <xf numFmtId="0" fontId="6" fillId="0" borderId="13" applyAlignment="1" pivotButton="0" quotePrefix="0" xfId="1">
      <alignment horizontal="left" vertical="center"/>
    </xf>
    <xf numFmtId="165" fontId="6" fillId="0" borderId="10" applyAlignment="1" pivotButton="0" quotePrefix="0" xfId="1">
      <alignment horizontal="right" vertical="center"/>
    </xf>
    <xf numFmtId="165" fontId="6" fillId="0" borderId="11" applyAlignment="1" pivotButton="0" quotePrefix="0" xfId="1">
      <alignment horizontal="right" vertical="center"/>
    </xf>
    <xf numFmtId="165" fontId="6" fillId="0" borderId="10" applyAlignment="1" pivotButton="0" quotePrefix="0" xfId="1">
      <alignment horizontal="left"/>
    </xf>
    <xf numFmtId="165" fontId="6" fillId="0" borderId="11" applyAlignment="1" pivotButton="0" quotePrefix="0" xfId="1">
      <alignment horizontal="left"/>
    </xf>
    <xf numFmtId="165" fontId="6" fillId="0" borderId="13" applyAlignment="1" pivotButton="0" quotePrefix="0" xfId="1">
      <alignment horizontal="left"/>
    </xf>
    <xf numFmtId="0" fontId="24" fillId="0" borderId="10" applyAlignment="1" pivotButton="0" quotePrefix="0" xfId="1">
      <alignment horizontal="center" vertical="center"/>
    </xf>
    <xf numFmtId="0" fontId="24" fillId="0" borderId="11" applyAlignment="1" pivotButton="0" quotePrefix="0" xfId="1">
      <alignment horizontal="center" vertical="center"/>
    </xf>
    <xf numFmtId="0" fontId="24" fillId="0" borderId="13" applyAlignment="1" pivotButton="0" quotePrefix="0" xfId="1">
      <alignment horizontal="center" vertical="center"/>
    </xf>
    <xf numFmtId="0" fontId="8" fillId="0" borderId="10" applyAlignment="1" pivotButton="0" quotePrefix="0" xfId="1">
      <alignment horizontal="left" vertical="center"/>
    </xf>
    <xf numFmtId="0" fontId="8" fillId="0" borderId="11" applyAlignment="1" pivotButton="0" quotePrefix="0" xfId="1">
      <alignment horizontal="left" vertical="center"/>
    </xf>
    <xf numFmtId="169" fontId="24" fillId="0" borderId="10" applyAlignment="1" pivotButton="0" quotePrefix="0" xfId="1">
      <alignment horizontal="center" vertical="center"/>
    </xf>
    <xf numFmtId="169" fontId="24" fillId="0" borderId="11" applyAlignment="1" pivotButton="0" quotePrefix="0" xfId="1">
      <alignment horizontal="center" vertical="center"/>
    </xf>
    <xf numFmtId="164" fontId="24" fillId="0" borderId="10" applyAlignment="1" pivotButton="0" quotePrefix="0" xfId="1">
      <alignment horizontal="center" vertical="center"/>
    </xf>
    <xf numFmtId="164" fontId="24" fillId="0" borderId="11" applyAlignment="1" pivotButton="0" quotePrefix="0" xfId="1">
      <alignment horizontal="center" vertical="center"/>
    </xf>
    <xf numFmtId="173" fontId="24" fillId="0" borderId="10" applyAlignment="1" pivotButton="0" quotePrefix="0" xfId="1">
      <alignment horizontal="center" vertical="center"/>
    </xf>
    <xf numFmtId="173" fontId="24" fillId="0" borderId="11" applyAlignment="1" pivotButton="0" quotePrefix="0" xfId="1">
      <alignment horizontal="center" vertical="center"/>
    </xf>
    <xf numFmtId="0" fontId="6" fillId="2" borderId="9" applyAlignment="1" pivotButton="0" quotePrefix="0" xfId="1">
      <alignment horizontal="center" vertical="center"/>
    </xf>
    <xf numFmtId="0" fontId="6" fillId="0" borderId="10" applyAlignment="1" pivotButton="0" quotePrefix="0" xfId="1">
      <alignment horizontal="left" vertical="center"/>
    </xf>
    <xf numFmtId="0" fontId="6" fillId="2" borderId="14" applyAlignment="1" pivotButton="0" quotePrefix="0" xfId="1">
      <alignment horizontal="center" vertical="center"/>
    </xf>
    <xf numFmtId="0" fontId="6" fillId="2" borderId="9" applyAlignment="1" pivotButton="0" quotePrefix="0" xfId="1">
      <alignment horizontal="left" vertical="center"/>
    </xf>
    <xf numFmtId="0" fontId="6" fillId="2" borderId="12" applyAlignment="1" pivotButton="0" quotePrefix="0" xfId="1">
      <alignment horizontal="center" vertical="center"/>
    </xf>
    <xf numFmtId="0" fontId="22" fillId="3" borderId="12" applyAlignment="1" applyProtection="1" pivotButton="0" quotePrefix="0" xfId="1">
      <alignment horizontal="center" vertical="center"/>
      <protection locked="0" hidden="0"/>
    </xf>
    <xf numFmtId="174" fontId="6" fillId="3" borderId="10" applyAlignment="1" applyProtection="1" pivotButton="0" quotePrefix="0" xfId="1">
      <alignment horizontal="center" vertical="center"/>
      <protection locked="0" hidden="0"/>
    </xf>
    <xf numFmtId="174" fontId="6" fillId="3" borderId="11" applyAlignment="1" applyProtection="1" pivotButton="0" quotePrefix="0" xfId="1">
      <alignment horizontal="center" vertical="center"/>
      <protection locked="0" hidden="0"/>
    </xf>
    <xf numFmtId="174" fontId="6" fillId="3" borderId="13" applyAlignment="1" applyProtection="1" pivotButton="0" quotePrefix="0" xfId="1">
      <alignment horizontal="center" vertical="center"/>
      <protection locked="0" hidden="0"/>
    </xf>
    <xf numFmtId="0" fontId="6" fillId="2" borderId="16" applyAlignment="1" pivotButton="0" quotePrefix="0" xfId="1">
      <alignment horizontal="left" vertical="top" wrapText="1"/>
    </xf>
    <xf numFmtId="0" fontId="8" fillId="2" borderId="18" applyAlignment="1" pivotButton="0" quotePrefix="0" xfId="1">
      <alignment horizontal="left" vertical="top" wrapText="1"/>
    </xf>
    <xf numFmtId="0" fontId="8" fillId="2" borderId="17" applyAlignment="1" pivotButton="0" quotePrefix="0" xfId="1">
      <alignment horizontal="left" vertical="top" wrapText="1"/>
    </xf>
    <xf numFmtId="0" fontId="8" fillId="2" borderId="19" applyAlignment="1" pivotButton="0" quotePrefix="0" xfId="1">
      <alignment horizontal="left" vertical="top" wrapText="1"/>
    </xf>
    <xf numFmtId="0" fontId="8" fillId="2" borderId="20" applyAlignment="1" pivotButton="0" quotePrefix="0" xfId="1">
      <alignment horizontal="left" vertical="top" wrapText="1"/>
    </xf>
    <xf numFmtId="0" fontId="8" fillId="2" borderId="14" applyAlignment="1" pivotButton="0" quotePrefix="0" xfId="1">
      <alignment horizontal="left" vertical="top" wrapText="1"/>
    </xf>
    <xf numFmtId="0" fontId="8" fillId="2" borderId="9" applyAlignment="1" pivotButton="0" quotePrefix="0" xfId="1">
      <alignment horizontal="left" vertical="top" wrapText="1"/>
    </xf>
    <xf numFmtId="0" fontId="8" fillId="2" borderId="15" applyAlignment="1" pivotButton="0" quotePrefix="0" xfId="1">
      <alignment horizontal="left" vertical="top" wrapText="1"/>
    </xf>
    <xf numFmtId="0" fontId="16" fillId="2" borderId="2" applyAlignment="1" pivotButton="0" quotePrefix="0" xfId="1">
      <alignment horizontal="left" vertical="center"/>
    </xf>
    <xf numFmtId="0" fontId="8" fillId="2" borderId="12" applyAlignment="1" pivotButton="0" quotePrefix="0" xfId="1">
      <alignment horizontal="center" vertical="center" wrapText="1"/>
    </xf>
    <xf numFmtId="0" fontId="8" fillId="2" borderId="10" applyAlignment="1" pivotButton="0" quotePrefix="0" xfId="1">
      <alignment horizontal="center" vertical="center" wrapText="1"/>
    </xf>
    <xf numFmtId="0" fontId="8" fillId="2" borderId="11" applyAlignment="1" pivotButton="0" quotePrefix="0" xfId="1">
      <alignment horizontal="center" vertical="center" wrapText="1"/>
    </xf>
    <xf numFmtId="0" fontId="8" fillId="2" borderId="13" applyAlignment="1" pivotButton="0" quotePrefix="0" xfId="1">
      <alignment horizontal="center" vertical="center" wrapText="1"/>
    </xf>
    <xf numFmtId="0" fontId="6" fillId="2" borderId="10" applyAlignment="1" pivotButton="0" quotePrefix="0" xfId="1">
      <alignment horizontal="center" vertical="center" wrapText="1"/>
    </xf>
    <xf numFmtId="0" fontId="6" fillId="2" borderId="11" applyAlignment="1" pivotButton="0" quotePrefix="0" xfId="1">
      <alignment horizontal="center" vertical="center" wrapText="1"/>
    </xf>
    <xf numFmtId="0" fontId="6" fillId="2" borderId="13" applyAlignment="1" pivotButton="0" quotePrefix="0" xfId="1">
      <alignment horizontal="center" vertical="center" wrapText="1"/>
    </xf>
    <xf numFmtId="175" fontId="24" fillId="2" borderId="10" applyAlignment="1" pivotButton="0" quotePrefix="0" xfId="1">
      <alignment horizontal="center" vertical="center"/>
    </xf>
    <xf numFmtId="175" fontId="24" fillId="2" borderId="11" applyAlignment="1" pivotButton="0" quotePrefix="0" xfId="1">
      <alignment horizontal="center" vertical="center"/>
    </xf>
    <xf numFmtId="175" fontId="24" fillId="2" borderId="13" applyAlignment="1" pivotButton="0" quotePrefix="0" xfId="1">
      <alignment horizontal="center" vertical="center"/>
    </xf>
    <xf numFmtId="165" fontId="24" fillId="2" borderId="10" applyAlignment="1" pivotButton="0" quotePrefix="0" xfId="1">
      <alignment horizontal="center" vertical="center"/>
    </xf>
    <xf numFmtId="165" fontId="24" fillId="2" borderId="11" applyAlignment="1" pivotButton="0" quotePrefix="0" xfId="1">
      <alignment horizontal="center" vertical="center"/>
    </xf>
    <xf numFmtId="165" fontId="24" fillId="2" borderId="13" applyAlignment="1" pivotButton="0" quotePrefix="0" xfId="1">
      <alignment horizontal="center" vertical="center"/>
    </xf>
    <xf numFmtId="169" fontId="24" fillId="2" borderId="10" applyAlignment="1" pivotButton="0" quotePrefix="0" xfId="1">
      <alignment horizontal="center" vertical="center"/>
    </xf>
    <xf numFmtId="169" fontId="24" fillId="2" borderId="11" applyAlignment="1" pivotButton="0" quotePrefix="0" xfId="1">
      <alignment horizontal="center" vertical="center"/>
    </xf>
    <xf numFmtId="169" fontId="24" fillId="2" borderId="13" applyAlignment="1" pivotButton="0" quotePrefix="0" xfId="1">
      <alignment horizontal="center" vertical="center"/>
    </xf>
    <xf numFmtId="0" fontId="34" fillId="0" borderId="0" applyAlignment="1" pivotButton="0" quotePrefix="0" xfId="1">
      <alignment horizontal="center" vertical="center"/>
    </xf>
    <xf numFmtId="165" fontId="24" fillId="0" borderId="10" applyAlignment="1" pivotButton="0" quotePrefix="0" xfId="1">
      <alignment horizontal="center" vertical="center"/>
    </xf>
    <xf numFmtId="165" fontId="24" fillId="0" borderId="11" applyAlignment="1" pivotButton="0" quotePrefix="0" xfId="1">
      <alignment horizontal="center" vertical="center"/>
    </xf>
    <xf numFmtId="165" fontId="24" fillId="0" borderId="13" applyAlignment="1" pivotButton="0" quotePrefix="0" xfId="1">
      <alignment horizontal="center" vertical="center"/>
    </xf>
    <xf numFmtId="169" fontId="24" fillId="0" borderId="13" applyAlignment="1" pivotButton="0" quotePrefix="0" xfId="1">
      <alignment horizontal="center" vertical="center"/>
    </xf>
    <xf numFmtId="0" fontId="39" fillId="0" borderId="0" applyAlignment="1" pivotButton="0" quotePrefix="0" xfId="1">
      <alignment horizontal="center" vertical="center"/>
    </xf>
    <xf numFmtId="0" fontId="6" fillId="2" borderId="15" applyAlignment="1" pivotButton="0" quotePrefix="0" xfId="1">
      <alignment horizontal="center" vertical="center"/>
    </xf>
    <xf numFmtId="0" fontId="25" fillId="2" borderId="16" applyAlignment="1" pivotButton="0" quotePrefix="0" xfId="1">
      <alignment horizontal="center" vertical="center"/>
    </xf>
    <xf numFmtId="0" fontId="25" fillId="2" borderId="17" applyAlignment="1" pivotButton="0" quotePrefix="0" xfId="1">
      <alignment horizontal="center" vertical="center"/>
    </xf>
    <xf numFmtId="0" fontId="25" fillId="2" borderId="14" applyAlignment="1" pivotButton="0" quotePrefix="0" xfId="1">
      <alignment horizontal="center" vertical="center"/>
    </xf>
    <xf numFmtId="0" fontId="25" fillId="2" borderId="15" applyAlignment="1" pivotButton="0" quotePrefix="0" xfId="1">
      <alignment horizontal="center" vertical="center"/>
    </xf>
    <xf numFmtId="0" fontId="6" fillId="2" borderId="16" applyAlignment="1" pivotButton="0" quotePrefix="0" xfId="1">
      <alignment horizontal="center" vertical="center"/>
    </xf>
    <xf numFmtId="0" fontId="6" fillId="2" borderId="18" applyAlignment="1" pivotButton="0" quotePrefix="0" xfId="1">
      <alignment horizontal="center" vertical="center"/>
    </xf>
    <xf numFmtId="0" fontId="6" fillId="2" borderId="17" applyAlignment="1" pivotButton="0" quotePrefix="0" xfId="1">
      <alignment horizontal="center" vertical="center"/>
    </xf>
    <xf numFmtId="0" fontId="6" fillId="2" borderId="10" applyAlignment="1" pivotButton="0" quotePrefix="0" xfId="1">
      <alignment horizontal="center" vertical="center"/>
    </xf>
    <xf numFmtId="0" fontId="6" fillId="2" borderId="11" applyAlignment="1" pivotButton="0" quotePrefix="0" xfId="1">
      <alignment horizontal="center" vertical="center"/>
    </xf>
    <xf numFmtId="0" fontId="6" fillId="2" borderId="13" applyAlignment="1" pivotButton="0" quotePrefix="0" xfId="1">
      <alignment horizontal="center" vertical="center"/>
    </xf>
    <xf numFmtId="168" fontId="24" fillId="2" borderId="10" applyAlignment="1" pivotButton="0" quotePrefix="0" xfId="1">
      <alignment horizontal="center" vertical="center"/>
    </xf>
    <xf numFmtId="168" fontId="24" fillId="2" borderId="13" applyAlignment="1" pivotButton="0" quotePrefix="0" xfId="1">
      <alignment horizontal="center" vertical="center"/>
    </xf>
    <xf numFmtId="168" fontId="24" fillId="0" borderId="10" applyAlignment="1" pivotButton="0" quotePrefix="0" xfId="1">
      <alignment horizontal="center" vertical="center"/>
    </xf>
    <xf numFmtId="168" fontId="24" fillId="0" borderId="13" applyAlignment="1" pivotButton="0" quotePrefix="0" xfId="1">
      <alignment horizontal="center" vertical="center"/>
    </xf>
    <xf numFmtId="165" fontId="26" fillId="0" borderId="10" applyAlignment="1" pivotButton="0" quotePrefix="0" xfId="1">
      <alignment horizontal="center" vertical="center"/>
    </xf>
    <xf numFmtId="165" fontId="26" fillId="0" borderId="13" applyAlignment="1" pivotButton="0" quotePrefix="0" xfId="1">
      <alignment horizontal="center" vertical="center"/>
    </xf>
    <xf numFmtId="165" fontId="26" fillId="0" borderId="11" applyAlignment="1" pivotButton="0" quotePrefix="0" xfId="1">
      <alignment horizontal="center" vertical="center"/>
    </xf>
    <xf numFmtId="0" fontId="23" fillId="0" borderId="10" applyAlignment="1" pivotButton="0" quotePrefix="0" xfId="1">
      <alignment horizontal="center" vertical="center"/>
    </xf>
    <xf numFmtId="0" fontId="23" fillId="0" borderId="11" applyAlignment="1" pivotButton="0" quotePrefix="0" xfId="1">
      <alignment horizontal="center" vertical="center"/>
    </xf>
    <xf numFmtId="0" fontId="23" fillId="0" borderId="13" applyAlignment="1" pivotButton="0" quotePrefix="0" xfId="1">
      <alignment horizontal="center" vertical="center"/>
    </xf>
    <xf numFmtId="168" fontId="26" fillId="0" borderId="10" applyAlignment="1" pivotButton="0" quotePrefix="0" xfId="1">
      <alignment horizontal="center" vertical="center"/>
    </xf>
    <xf numFmtId="168" fontId="26" fillId="0" borderId="13" applyAlignment="1" pivotButton="0" quotePrefix="0" xfId="1">
      <alignment horizontal="center" vertical="center"/>
    </xf>
    <xf numFmtId="0" fontId="25" fillId="0" borderId="10" applyAlignment="1" pivotButton="0" quotePrefix="0" xfId="1">
      <alignment horizontal="right" vertical="center"/>
    </xf>
    <xf numFmtId="0" fontId="25" fillId="0" borderId="11" applyAlignment="1" pivotButton="0" quotePrefix="0" xfId="1">
      <alignment horizontal="right" vertical="center"/>
    </xf>
    <xf numFmtId="0" fontId="8" fillId="2" borderId="16" applyAlignment="1" pivotButton="0" quotePrefix="0" xfId="1">
      <alignment horizontal="center" vertical="center" wrapText="1"/>
    </xf>
    <xf numFmtId="0" fontId="8" fillId="2" borderId="17" applyAlignment="1" pivotButton="0" quotePrefix="0" xfId="1">
      <alignment horizontal="center" vertical="center" wrapText="1"/>
    </xf>
    <xf numFmtId="0" fontId="8" fillId="2" borderId="14" applyAlignment="1" pivotButton="0" quotePrefix="0" xfId="1">
      <alignment horizontal="center" vertical="center" wrapText="1"/>
    </xf>
    <xf numFmtId="0" fontId="8" fillId="2" borderId="15" applyAlignment="1" pivotButton="0" quotePrefix="0" xfId="1">
      <alignment horizontal="center" vertical="center" wrapText="1"/>
    </xf>
    <xf numFmtId="0" fontId="8" fillId="2" borderId="18" applyAlignment="1" pivotButton="0" quotePrefix="0" xfId="1">
      <alignment horizontal="center" vertical="center" wrapText="1"/>
    </xf>
    <xf numFmtId="0" fontId="8" fillId="2" borderId="9" applyAlignment="1" pivotButton="0" quotePrefix="0" xfId="1">
      <alignment horizontal="center" vertical="center" wrapText="1"/>
    </xf>
    <xf numFmtId="0" fontId="25" fillId="2" borderId="16" applyAlignment="1" pivotButton="0" quotePrefix="0" xfId="1">
      <alignment horizontal="center" vertical="center" wrapText="1"/>
    </xf>
    <xf numFmtId="0" fontId="25" fillId="2" borderId="18" applyAlignment="1" pivotButton="0" quotePrefix="0" xfId="1">
      <alignment horizontal="center" vertical="center" wrapText="1"/>
    </xf>
    <xf numFmtId="0" fontId="25" fillId="2" borderId="17" applyAlignment="1" pivotButton="0" quotePrefix="0" xfId="1">
      <alignment horizontal="center" vertical="center" wrapText="1"/>
    </xf>
    <xf numFmtId="0" fontId="25" fillId="2" borderId="14" applyAlignment="1" pivotButton="0" quotePrefix="0" xfId="1">
      <alignment horizontal="center" vertical="center" wrapText="1"/>
    </xf>
    <xf numFmtId="0" fontId="25" fillId="2" borderId="9" applyAlignment="1" pivotButton="0" quotePrefix="0" xfId="1">
      <alignment horizontal="center" vertical="center" wrapText="1"/>
    </xf>
    <xf numFmtId="0" fontId="25" fillId="2" borderId="15" applyAlignment="1" pivotButton="0" quotePrefix="0" xfId="1">
      <alignment horizontal="center" vertical="center" wrapText="1"/>
    </xf>
    <xf numFmtId="0" fontId="12" fillId="2" borderId="16" applyAlignment="1" pivotButton="0" quotePrefix="0" xfId="1">
      <alignment horizontal="center" vertical="center" wrapText="1"/>
    </xf>
    <xf numFmtId="0" fontId="12" fillId="2" borderId="17" applyAlignment="1" pivotButton="0" quotePrefix="0" xfId="1">
      <alignment horizontal="center" vertical="center" wrapText="1"/>
    </xf>
    <xf numFmtId="0" fontId="12" fillId="2" borderId="14" applyAlignment="1" pivotButton="0" quotePrefix="0" xfId="1">
      <alignment horizontal="center" vertical="center" wrapText="1"/>
    </xf>
    <xf numFmtId="0" fontId="12" fillId="2" borderId="15" applyAlignment="1" pivotButton="0" quotePrefix="0" xfId="1">
      <alignment horizontal="center" vertical="center" wrapText="1"/>
    </xf>
    <xf numFmtId="164" fontId="24" fillId="0" borderId="11" applyAlignment="1" pivotButton="0" quotePrefix="0" xfId="1">
      <alignment horizontal="left" vertical="center"/>
    </xf>
    <xf numFmtId="164" fontId="24" fillId="0" borderId="13" applyAlignment="1" pivotButton="0" quotePrefix="0" xfId="1">
      <alignment horizontal="left" vertical="center"/>
    </xf>
    <xf numFmtId="168" fontId="6" fillId="0" borderId="14" applyAlignment="1" pivotButton="0" quotePrefix="0" xfId="1">
      <alignment horizontal="center" vertical="center"/>
    </xf>
    <xf numFmtId="168" fontId="6" fillId="0" borderId="9" applyAlignment="1" pivotButton="0" quotePrefix="0" xfId="1">
      <alignment horizontal="center" vertical="center"/>
    </xf>
    <xf numFmtId="0" fontId="6" fillId="0" borderId="15" applyAlignment="1" pivotButton="0" quotePrefix="0" xfId="1">
      <alignment horizontal="center" vertical="center"/>
    </xf>
    <xf numFmtId="0" fontId="23" fillId="2" borderId="10" applyAlignment="1" pivotButton="0" quotePrefix="0" xfId="1">
      <alignment horizontal="left" vertical="center"/>
    </xf>
    <xf numFmtId="0" fontId="23" fillId="2" borderId="11" applyAlignment="1" pivotButton="0" quotePrefix="0" xfId="1">
      <alignment horizontal="left" vertical="center"/>
    </xf>
    <xf numFmtId="0" fontId="23" fillId="2" borderId="13" applyAlignment="1" pivotButton="0" quotePrefix="0" xfId="1">
      <alignment horizontal="left" vertical="center"/>
    </xf>
    <xf numFmtId="168" fontId="23" fillId="2" borderId="10" applyAlignment="1" pivotButton="0" quotePrefix="0" xfId="1">
      <alignment horizontal="right" vertical="center"/>
    </xf>
    <xf numFmtId="168" fontId="23" fillId="2" borderId="11" applyAlignment="1" pivotButton="0" quotePrefix="0" xfId="1">
      <alignment horizontal="right" vertical="center"/>
    </xf>
    <xf numFmtId="168" fontId="23" fillId="2" borderId="11" applyAlignment="1" pivotButton="0" quotePrefix="0" xfId="1">
      <alignment horizontal="center" vertical="center"/>
    </xf>
    <xf numFmtId="168" fontId="23" fillId="2" borderId="13" applyAlignment="1" pivotButton="0" quotePrefix="0" xfId="1">
      <alignment horizontal="center" vertical="center"/>
    </xf>
    <xf numFmtId="0" fontId="6" fillId="2" borderId="10" applyAlignment="1" pivotButton="0" quotePrefix="0" xfId="1">
      <alignment horizontal="left" vertical="center"/>
    </xf>
    <xf numFmtId="0" fontId="6" fillId="2" borderId="11" applyAlignment="1" pivotButton="0" quotePrefix="0" xfId="1">
      <alignment horizontal="left" vertical="center"/>
    </xf>
    <xf numFmtId="0" fontId="6" fillId="2" borderId="13" applyAlignment="1" pivotButton="0" quotePrefix="0" xfId="1">
      <alignment horizontal="left" vertical="center"/>
    </xf>
    <xf numFmtId="165" fontId="6" fillId="2" borderId="10" applyAlignment="1" pivotButton="0" quotePrefix="0" xfId="1">
      <alignment horizontal="center" vertical="center"/>
    </xf>
    <xf numFmtId="165" fontId="6" fillId="2" borderId="11" applyAlignment="1" pivotButton="0" quotePrefix="0" xfId="1">
      <alignment horizontal="center" vertical="center"/>
    </xf>
    <xf numFmtId="165" fontId="22" fillId="0" borderId="18" applyAlignment="1" pivotButton="0" quotePrefix="0" xfId="1">
      <alignment horizontal="left" vertical="center"/>
    </xf>
    <xf numFmtId="165" fontId="22" fillId="0" borderId="17" applyAlignment="1" pivotButton="0" quotePrefix="0" xfId="1">
      <alignment horizontal="left" vertical="center"/>
    </xf>
    <xf numFmtId="0" fontId="6" fillId="0" borderId="14" applyAlignment="1" pivotButton="0" quotePrefix="0" xfId="1">
      <alignment horizontal="center" vertical="center"/>
    </xf>
    <xf numFmtId="0" fontId="21" fillId="0" borderId="10" applyAlignment="1" pivotButton="0" quotePrefix="0" xfId="1">
      <alignment horizontal="center" vertical="center"/>
    </xf>
    <xf numFmtId="0" fontId="21" fillId="0" borderId="11" applyAlignment="1" pivotButton="0" quotePrefix="0" xfId="1">
      <alignment horizontal="center" vertical="center"/>
    </xf>
    <xf numFmtId="165" fontId="22" fillId="0" borderId="10" applyAlignment="1" pivotButton="0" quotePrefix="0" xfId="1">
      <alignment horizontal="right" vertical="center"/>
    </xf>
    <xf numFmtId="165" fontId="22" fillId="0" borderId="11" applyAlignment="1" pivotButton="0" quotePrefix="0" xfId="1">
      <alignment horizontal="right" vertical="center"/>
    </xf>
    <xf numFmtId="165" fontId="22" fillId="0" borderId="11" applyAlignment="1" pivotButton="0" quotePrefix="0" xfId="1">
      <alignment horizontal="left" vertical="center"/>
    </xf>
    <xf numFmtId="165" fontId="22" fillId="0" borderId="13" applyAlignment="1" pivotButton="0" quotePrefix="0" xfId="1">
      <alignment horizontal="left" vertical="center"/>
    </xf>
    <xf numFmtId="0" fontId="19" fillId="0" borderId="10" applyAlignment="1" pivotButton="0" quotePrefix="0" xfId="1">
      <alignment horizontal="center" vertical="center"/>
    </xf>
    <xf numFmtId="0" fontId="19" fillId="0" borderId="11" applyAlignment="1" pivotButton="0" quotePrefix="0" xfId="1">
      <alignment horizontal="center" vertical="center"/>
    </xf>
    <xf numFmtId="0" fontId="19" fillId="0" borderId="13" applyAlignment="1" pivotButton="0" quotePrefix="0" xfId="1">
      <alignment horizontal="center" vertical="center"/>
    </xf>
    <xf numFmtId="164" fontId="20" fillId="0" borderId="11" applyAlignment="1" pivotButton="0" quotePrefix="0" xfId="1">
      <alignment horizontal="center" vertical="center"/>
    </xf>
    <xf numFmtId="0" fontId="21" fillId="0" borderId="13" applyAlignment="1" pivotButton="0" quotePrefix="0" xfId="1">
      <alignment horizontal="center" vertical="center"/>
    </xf>
    <xf numFmtId="165" fontId="22" fillId="0" borderId="16" applyAlignment="1" pivotButton="0" quotePrefix="0" xfId="1">
      <alignment horizontal="right" vertical="center"/>
    </xf>
    <xf numFmtId="165" fontId="22" fillId="0" borderId="18" applyAlignment="1" pivotButton="0" quotePrefix="0" xfId="1">
      <alignment horizontal="right" vertical="center"/>
    </xf>
    <xf numFmtId="176" fontId="6" fillId="0" borderId="12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 wrapText="1"/>
    </xf>
    <xf numFmtId="0" fontId="6" fillId="0" borderId="11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2" fontId="6" fillId="0" borderId="12" applyAlignment="1" pivotButton="0" quotePrefix="0" xfId="1">
      <alignment horizontal="center" vertical="center"/>
    </xf>
    <xf numFmtId="0" fontId="6" fillId="0" borderId="16" applyAlignment="1" pivotButton="0" quotePrefix="0" xfId="1">
      <alignment horizontal="center" vertical="center"/>
    </xf>
    <xf numFmtId="0" fontId="6" fillId="0" borderId="18" applyAlignment="1" pivotButton="0" quotePrefix="0" xfId="1">
      <alignment horizontal="center" vertical="center"/>
    </xf>
    <xf numFmtId="0" fontId="6" fillId="0" borderId="17" applyAlignment="1" pivotButton="0" quotePrefix="0" xfId="1">
      <alignment horizontal="center" vertical="center"/>
    </xf>
    <xf numFmtId="0" fontId="6" fillId="0" borderId="19" applyAlignment="1" pivotButton="0" quotePrefix="0" xfId="1">
      <alignment horizontal="center" vertical="center"/>
    </xf>
    <xf numFmtId="0" fontId="17" fillId="2" borderId="12" applyAlignment="1" pivotButton="0" quotePrefix="0" xfId="1">
      <alignment horizontal="center" vertical="center"/>
    </xf>
    <xf numFmtId="0" fontId="17" fillId="0" borderId="12" applyAlignment="1" pivotButton="0" quotePrefix="0" xfId="1">
      <alignment horizontal="center" vertical="center"/>
    </xf>
    <xf numFmtId="0" fontId="18" fillId="0" borderId="12" applyAlignment="1" pivotButton="0" quotePrefix="0" xfId="1">
      <alignment horizontal="center" vertical="center"/>
    </xf>
    <xf numFmtId="0" fontId="5" fillId="2" borderId="16" applyAlignment="1" pivotButton="0" quotePrefix="0" xfId="1">
      <alignment horizontal="center" vertical="center"/>
    </xf>
    <xf numFmtId="0" fontId="5" fillId="2" borderId="18" applyAlignment="1" pivotButton="0" quotePrefix="0" xfId="1">
      <alignment horizontal="center" vertical="center"/>
    </xf>
    <xf numFmtId="0" fontId="5" fillId="2" borderId="17" applyAlignment="1" pivotButton="0" quotePrefix="0" xfId="1">
      <alignment horizontal="center" vertical="center"/>
    </xf>
    <xf numFmtId="0" fontId="5" fillId="2" borderId="14" applyAlignment="1" pivotButton="0" quotePrefix="0" xfId="1">
      <alignment horizontal="center" vertical="center"/>
    </xf>
    <xf numFmtId="0" fontId="5" fillId="2" borderId="9" applyAlignment="1" pivotButton="0" quotePrefix="0" xfId="1">
      <alignment horizontal="center" vertical="center"/>
    </xf>
    <xf numFmtId="0" fontId="5" fillId="2" borderId="15" applyAlignment="1" pivotButton="0" quotePrefix="0" xfId="1">
      <alignment horizontal="center" vertical="center"/>
    </xf>
    <xf numFmtId="164" fontId="6" fillId="2" borderId="10" applyAlignment="1" pivotButton="0" quotePrefix="0" xfId="1">
      <alignment horizontal="right" vertical="center"/>
    </xf>
    <xf numFmtId="164" fontId="6" fillId="2" borderId="11" applyAlignment="1" pivotButton="0" quotePrefix="0" xfId="1">
      <alignment horizontal="right" vertical="center"/>
    </xf>
    <xf numFmtId="0" fontId="36" fillId="0" borderId="0" applyAlignment="1" pivotButton="0" quotePrefix="0" xfId="1">
      <alignment horizontal="center" vertical="center"/>
    </xf>
    <xf numFmtId="165" fontId="6" fillId="0" borderId="11" applyAlignment="1" pivotButton="0" quotePrefix="0" xfId="1">
      <alignment horizontal="left" vertical="center"/>
    </xf>
    <xf numFmtId="165" fontId="6" fillId="0" borderId="13" applyAlignment="1" pivotButton="0" quotePrefix="0" xfId="1">
      <alignment horizontal="left" vertical="center"/>
    </xf>
    <xf numFmtId="165" fontId="6" fillId="2" borderId="10" applyAlignment="1" pivotButton="0" quotePrefix="0" xfId="1">
      <alignment horizontal="right" vertical="center"/>
    </xf>
    <xf numFmtId="165" fontId="6" fillId="2" borderId="11" applyAlignment="1" pivotButton="0" quotePrefix="0" xfId="1">
      <alignment horizontal="right" vertical="center"/>
    </xf>
    <xf numFmtId="171" fontId="6" fillId="2" borderId="10" applyAlignment="1" pivotButton="0" quotePrefix="0" xfId="1">
      <alignment horizontal="center" vertical="center"/>
    </xf>
    <xf numFmtId="171" fontId="6" fillId="2" borderId="11" applyAlignment="1" pivotButton="0" quotePrefix="0" xfId="1">
      <alignment horizontal="center" vertical="center"/>
    </xf>
    <xf numFmtId="168" fontId="6" fillId="0" borderId="10" applyAlignment="1" pivotButton="0" quotePrefix="0" xfId="1">
      <alignment horizontal="right" vertical="center"/>
    </xf>
    <xf numFmtId="168" fontId="6" fillId="0" borderId="11" applyAlignment="1" pivotButton="0" quotePrefix="0" xfId="1">
      <alignment horizontal="right" vertical="center"/>
    </xf>
    <xf numFmtId="171" fontId="6" fillId="0" borderId="10" applyAlignment="1" pivotButton="0" quotePrefix="0" xfId="1">
      <alignment horizontal="center" vertical="center"/>
    </xf>
    <xf numFmtId="171" fontId="6" fillId="0" borderId="11" applyAlignment="1" pivotButton="0" quotePrefix="0" xfId="1">
      <alignment horizontal="center" vertical="center"/>
    </xf>
    <xf numFmtId="0" fontId="38" fillId="0" borderId="0" applyAlignment="1" pivotButton="0" quotePrefix="0" xfId="1">
      <alignment horizontal="center" vertical="center"/>
    </xf>
    <xf numFmtId="0" fontId="6" fillId="0" borderId="14" applyAlignment="1" pivotButton="0" quotePrefix="0" xfId="1">
      <alignment horizontal="left" vertical="center"/>
    </xf>
    <xf numFmtId="0" fontId="6" fillId="0" borderId="9" applyAlignment="1" pivotButton="0" quotePrefix="0" xfId="1">
      <alignment horizontal="left" vertical="center"/>
    </xf>
    <xf numFmtId="0" fontId="6" fillId="0" borderId="15" applyAlignment="1" pivotButton="0" quotePrefix="0" xfId="1">
      <alignment horizontal="left" vertical="center"/>
    </xf>
    <xf numFmtId="0" fontId="5" fillId="2" borderId="12" applyAlignment="1" pivotButton="0" quotePrefix="0" xfId="1">
      <alignment horizontal="center" vertical="center"/>
    </xf>
    <xf numFmtId="0" fontId="6" fillId="2" borderId="12" applyAlignment="1" pivotButton="0" quotePrefix="0" xfId="1">
      <alignment horizontal="left" vertical="center"/>
    </xf>
    <xf numFmtId="0" fontId="5" fillId="2" borderId="12" applyAlignment="1" pivotButton="0" quotePrefix="0" xfId="1">
      <alignment horizontal="left" vertical="center"/>
    </xf>
    <xf numFmtId="0" fontId="5" fillId="0" borderId="12" applyAlignment="1" pivotButton="0" quotePrefix="0" xfId="1">
      <alignment horizontal="left" vertical="center"/>
    </xf>
    <xf numFmtId="0" fontId="5" fillId="0" borderId="12" applyAlignment="1" pivotButton="0" quotePrefix="0" xfId="1">
      <alignment horizontal="center" vertical="center"/>
    </xf>
    <xf numFmtId="0" fontId="9" fillId="0" borderId="12" applyAlignment="1" pivotButton="0" quotePrefix="0" xfId="1">
      <alignment horizontal="left" vertical="center" wrapText="1"/>
    </xf>
    <xf numFmtId="0" fontId="9" fillId="0" borderId="12" applyAlignment="1" pivotButton="0" quotePrefix="0" xfId="1">
      <alignment horizontal="left" vertical="center"/>
    </xf>
    <xf numFmtId="0" fontId="2" fillId="2" borderId="1" applyAlignment="1" pivotButton="0" quotePrefix="0" xfId="1">
      <alignment horizontal="center" vertical="center" wrapText="1"/>
    </xf>
    <xf numFmtId="0" fontId="2" fillId="2" borderId="2" applyAlignment="1" pivotButton="0" quotePrefix="0" xfId="1">
      <alignment horizontal="center" vertical="center" wrapText="1"/>
    </xf>
    <xf numFmtId="0" fontId="2" fillId="2" borderId="3" applyAlignment="1" pivotButton="0" quotePrefix="0" xfId="1">
      <alignment horizontal="center" vertical="center" wrapText="1"/>
    </xf>
    <xf numFmtId="0" fontId="2" fillId="2" borderId="4" applyAlignment="1" pivotButton="0" quotePrefix="0" xfId="1">
      <alignment horizontal="center" vertical="center" wrapText="1"/>
    </xf>
    <xf numFmtId="0" fontId="2" fillId="2" borderId="0" applyAlignment="1" pivotButton="0" quotePrefix="0" xfId="1">
      <alignment horizontal="center" vertical="center" wrapText="1"/>
    </xf>
    <xf numFmtId="0" fontId="2" fillId="2" borderId="5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2" fillId="2" borderId="7" applyAlignment="1" pivotButton="0" quotePrefix="0" xfId="1">
      <alignment horizontal="center" vertical="center" wrapText="1"/>
    </xf>
    <xf numFmtId="0" fontId="2" fillId="2" borderId="8" applyAlignment="1" pivotButton="0" quotePrefix="0" xfId="1">
      <alignment horizontal="center" vertical="center" wrapText="1"/>
    </xf>
    <xf numFmtId="0" fontId="3" fillId="2" borderId="2" applyAlignment="1" pivotButton="0" quotePrefix="0" xfId="1">
      <alignment horizontal="center" vertical="center" wrapText="1"/>
    </xf>
    <xf numFmtId="0" fontId="3" fillId="2" borderId="0" applyAlignment="1" pivotButton="0" quotePrefix="0" xfId="1">
      <alignment horizontal="center" vertical="center" wrapText="1"/>
    </xf>
    <xf numFmtId="0" fontId="3" fillId="2" borderId="9" applyAlignment="1" pivotButton="0" quotePrefix="0" xfId="1">
      <alignment horizontal="center" vertical="center" wrapText="1"/>
    </xf>
    <xf numFmtId="0" fontId="5" fillId="2" borderId="11" applyAlignment="1" pivotButton="0" quotePrefix="0" xfId="1">
      <alignment horizontal="right" vertical="center"/>
    </xf>
    <xf numFmtId="0" fontId="5" fillId="2" borderId="11" applyAlignment="1" pivotButton="0" quotePrefix="0" xfId="1">
      <alignment horizontal="center" vertical="center" wrapText="1"/>
    </xf>
    <xf numFmtId="0" fontId="5" fillId="2" borderId="11" applyAlignment="1" pivotButton="0" quotePrefix="0" xfId="1">
      <alignment horizontal="center" vertical="center"/>
    </xf>
    <xf numFmtId="14" fontId="5" fillId="2" borderId="11" applyAlignment="1" pivotButton="0" quotePrefix="0" xfId="1">
      <alignment horizontal="center" vertical="center"/>
    </xf>
    <xf numFmtId="168" fontId="5" fillId="2" borderId="11" applyAlignment="1" pivotButton="0" quotePrefix="0" xfId="1">
      <alignment horizontal="left" vertical="center"/>
    </xf>
    <xf numFmtId="0" fontId="6" fillId="2" borderId="11" applyAlignment="1" pivotButton="0" quotePrefix="0" xfId="1">
      <alignment vertical="center"/>
    </xf>
    <xf numFmtId="0" fontId="6" fillId="0" borderId="11" applyAlignment="1" pivotButton="0" quotePrefix="0" xfId="1">
      <alignment vertical="center"/>
    </xf>
    <xf numFmtId="0" fontId="6" fillId="2" borderId="10" applyAlignment="1" pivotButton="0" quotePrefix="0" xfId="1">
      <alignment horizontal="right" vertical="center"/>
    </xf>
    <xf numFmtId="0" fontId="6" fillId="2" borderId="11" applyAlignment="1" pivotButton="0" quotePrefix="0" xfId="1">
      <alignment horizontal="right" vertical="center"/>
    </xf>
    <xf numFmtId="0" fontId="5" fillId="2" borderId="10" applyAlignment="1" pivotButton="0" quotePrefix="0" xfId="1">
      <alignment horizontal="center" vertical="center"/>
    </xf>
    <xf numFmtId="0" fontId="5" fillId="2" borderId="13" applyAlignment="1" pivotButton="0" quotePrefix="0" xfId="1">
      <alignment horizontal="center" vertical="center"/>
    </xf>
    <xf numFmtId="0" fontId="11" fillId="2" borderId="10" applyAlignment="1" pivotButton="0" quotePrefix="0" xfId="1">
      <alignment horizontal="center" vertical="center" wrapText="1"/>
    </xf>
    <xf numFmtId="0" fontId="11" fillId="2" borderId="11" applyAlignment="1" pivotButton="0" quotePrefix="0" xfId="1">
      <alignment horizontal="center" vertical="center" wrapText="1"/>
    </xf>
    <xf numFmtId="0" fontId="11" fillId="2" borderId="13" applyAlignment="1" pivotButton="0" quotePrefix="0" xfId="1">
      <alignment horizontal="center" vertical="center" wrapText="1"/>
    </xf>
    <xf numFmtId="0" fontId="12" fillId="2" borderId="10" applyAlignment="1" pivotButton="0" quotePrefix="0" xfId="1">
      <alignment horizontal="center" vertical="center" wrapText="1"/>
    </xf>
    <xf numFmtId="0" fontId="12" fillId="2" borderId="11" applyAlignment="1" pivotButton="0" quotePrefix="0" xfId="1">
      <alignment horizontal="center" vertical="center" wrapText="1"/>
    </xf>
    <xf numFmtId="0" fontId="12" fillId="2" borderId="13" applyAlignment="1" pivotButton="0" quotePrefix="0" xfId="1">
      <alignment horizontal="center" vertical="center" wrapText="1"/>
    </xf>
    <xf numFmtId="0" fontId="0" fillId="0" borderId="0" pivotButton="0" quotePrefix="0" xfId="0"/>
    <xf numFmtId="0" fontId="2" fillId="2" borderId="22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2" borderId="23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8" fontId="5" fillId="2" borderId="11" applyAlignment="1" pivotButton="0" quotePrefix="0" xfId="1">
      <alignment horizontal="left" vertical="center"/>
    </xf>
    <xf numFmtId="0" fontId="0" fillId="0" borderId="13" pivotButton="0" quotePrefix="0" xfId="0"/>
    <xf numFmtId="0" fontId="11" fillId="2" borderId="12" applyAlignment="1" pivotButton="0" quotePrefix="0" xfId="1">
      <alignment horizontal="center" vertical="center" wrapText="1"/>
    </xf>
    <xf numFmtId="0" fontId="12" fillId="2" borderId="12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left" vertical="center"/>
    </xf>
    <xf numFmtId="0" fontId="6" fillId="0" borderId="24" applyAlignment="1" pivotButton="0" quotePrefix="0" xfId="1">
      <alignment horizontal="left" vertical="center"/>
    </xf>
    <xf numFmtId="0" fontId="0" fillId="0" borderId="15" pivotButton="0" quotePrefix="0" xfId="0"/>
    <xf numFmtId="171" fontId="6" fillId="0" borderId="10" applyAlignment="1" pivotButton="0" quotePrefix="0" xfId="1">
      <alignment horizontal="center" vertical="center"/>
    </xf>
    <xf numFmtId="171" fontId="6" fillId="2" borderId="10" applyAlignment="1" pivotButton="0" quotePrefix="0" xfId="1">
      <alignment horizontal="center" vertical="center"/>
    </xf>
    <xf numFmtId="168" fontId="6" fillId="0" borderId="10" applyAlignment="1" pivotButton="0" quotePrefix="0" xfId="1">
      <alignment horizontal="right" vertical="center"/>
    </xf>
    <xf numFmtId="165" fontId="6" fillId="2" borderId="10" applyAlignment="1" pivotButton="0" quotePrefix="0" xfId="1">
      <alignment horizontal="right" vertical="center"/>
    </xf>
    <xf numFmtId="165" fontId="6" fillId="0" borderId="10" applyAlignment="1" pivotButton="0" quotePrefix="0" xfId="1">
      <alignment horizontal="center" vertical="center"/>
    </xf>
    <xf numFmtId="165" fontId="6" fillId="0" borderId="13" applyAlignment="1" pivotButton="0" quotePrefix="0" xfId="1">
      <alignment horizontal="left" vertical="center"/>
    </xf>
    <xf numFmtId="165" fontId="6" fillId="0" borderId="10" applyAlignment="1" pivotButton="0" quotePrefix="0" xfId="1">
      <alignment horizontal="right" vertical="center"/>
    </xf>
    <xf numFmtId="164" fontId="6" fillId="2" borderId="10" applyAlignment="1" pivotButton="0" quotePrefix="0" xfId="1">
      <alignment horizontal="right" vertical="center"/>
    </xf>
    <xf numFmtId="164" fontId="6" fillId="2" borderId="11" applyAlignment="1" pivotButton="0" quotePrefix="0" xfId="1">
      <alignment horizontal="center" vertical="center"/>
    </xf>
    <xf numFmtId="165" fontId="6" fillId="2" borderId="10" applyAlignment="1" pivotButton="0" quotePrefix="0" xfId="1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6" fillId="2" borderId="25" applyAlignment="1" pivotButton="0" quotePrefix="0" xfId="1">
      <alignment horizontal="center" vertical="center"/>
    </xf>
    <xf numFmtId="0" fontId="0" fillId="0" borderId="14" pivotButton="0" quotePrefix="0" xfId="0"/>
    <xf numFmtId="0" fontId="6" fillId="2" borderId="24" applyAlignment="1" pivotButton="0" quotePrefix="0" xfId="1">
      <alignment horizontal="center" vertical="center"/>
    </xf>
    <xf numFmtId="165" fontId="6" fillId="0" borderId="12" applyAlignment="1" pivotButton="0" quotePrefix="0" xfId="1">
      <alignment horizontal="center" vertical="center"/>
    </xf>
    <xf numFmtId="165" fontId="6" fillId="0" borderId="7" applyAlignment="1" pivotButton="0" quotePrefix="0" xfId="1">
      <alignment horizontal="center" vertical="center"/>
    </xf>
    <xf numFmtId="165" fontId="6" fillId="0" borderId="2" applyAlignment="1" pivotButton="0" quotePrefix="0" xfId="1">
      <alignment horizontal="center" vertical="center"/>
    </xf>
    <xf numFmtId="165" fontId="6" fillId="0" borderId="0" applyAlignment="1" pivotButton="0" quotePrefix="0" xfId="1">
      <alignment horizontal="center" vertical="center"/>
    </xf>
    <xf numFmtId="0" fontId="6" fillId="0" borderId="25" applyAlignment="1" pivotButton="0" quotePrefix="0" xfId="1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12" applyAlignment="1" pivotButton="0" quotePrefix="0" xfId="1">
      <alignment horizontal="center" vertical="center" wrapText="1"/>
    </xf>
    <xf numFmtId="176" fontId="6" fillId="0" borderId="12" applyAlignment="1" pivotButton="0" quotePrefix="0" xfId="1">
      <alignment horizontal="center" vertical="center"/>
    </xf>
    <xf numFmtId="0" fontId="19" fillId="0" borderId="12" applyAlignment="1" pivotButton="0" quotePrefix="0" xfId="1">
      <alignment horizontal="center" vertical="center"/>
    </xf>
    <xf numFmtId="164" fontId="20" fillId="0" borderId="11" applyAlignment="1" pivotButton="0" quotePrefix="0" xfId="1">
      <alignment horizontal="center" vertical="center"/>
    </xf>
    <xf numFmtId="0" fontId="21" fillId="0" borderId="12" applyAlignment="1" pivotButton="0" quotePrefix="0" xfId="1">
      <alignment horizontal="center" vertical="center"/>
    </xf>
    <xf numFmtId="165" fontId="22" fillId="0" borderId="16" applyAlignment="1" pivotButton="0" quotePrefix="0" xfId="1">
      <alignment horizontal="right" vertical="center"/>
    </xf>
    <xf numFmtId="165" fontId="22" fillId="0" borderId="17" applyAlignment="1" pivotButton="0" quotePrefix="0" xfId="1">
      <alignment horizontal="left" vertical="center"/>
    </xf>
    <xf numFmtId="0" fontId="6" fillId="0" borderId="24" applyAlignment="1" pivotButton="0" quotePrefix="0" xfId="1">
      <alignment horizontal="center" vertical="center"/>
    </xf>
    <xf numFmtId="165" fontId="6" fillId="0" borderId="14" applyAlignment="1" pivotButton="0" quotePrefix="0" xfId="1">
      <alignment horizontal="right" vertical="center"/>
    </xf>
    <xf numFmtId="165" fontId="22" fillId="0" borderId="10" applyAlignment="1" pivotButton="0" quotePrefix="0" xfId="1">
      <alignment horizontal="right" vertical="center"/>
    </xf>
    <xf numFmtId="165" fontId="22" fillId="0" borderId="13" applyAlignment="1" pivotButton="0" quotePrefix="0" xfId="1">
      <alignment horizontal="left" vertical="center"/>
    </xf>
    <xf numFmtId="166" fontId="34" fillId="0" borderId="0" applyAlignment="1" pivotButton="0" quotePrefix="0" xfId="1">
      <alignment horizontal="center" vertical="center"/>
    </xf>
    <xf numFmtId="165" fontId="6" fillId="2" borderId="0" applyAlignment="1" pivotButton="0" quotePrefix="0" xfId="1">
      <alignment vertical="center"/>
    </xf>
    <xf numFmtId="0" fontId="23" fillId="2" borderId="12" applyAlignment="1" pivotButton="0" quotePrefix="0" xfId="1">
      <alignment horizontal="left" vertical="center"/>
    </xf>
    <xf numFmtId="168" fontId="23" fillId="2" borderId="10" applyAlignment="1" pivotButton="0" quotePrefix="0" xfId="1">
      <alignment horizontal="right" vertical="center"/>
    </xf>
    <xf numFmtId="168" fontId="23" fillId="2" borderId="13" applyAlignment="1" pivotButton="0" quotePrefix="0" xfId="1">
      <alignment horizontal="center" vertical="center"/>
    </xf>
    <xf numFmtId="165" fontId="24" fillId="0" borderId="10" applyAlignment="1" pivotButton="0" quotePrefix="0" xfId="1">
      <alignment vertical="center"/>
    </xf>
    <xf numFmtId="165" fontId="24" fillId="0" borderId="11" applyAlignment="1" pivotButton="0" quotePrefix="0" xfId="1">
      <alignment vertical="center"/>
    </xf>
    <xf numFmtId="164" fontId="24" fillId="0" borderId="11" applyAlignment="1" pivotButton="0" quotePrefix="0" xfId="1">
      <alignment vertical="center"/>
    </xf>
    <xf numFmtId="164" fontId="24" fillId="0" borderId="13" applyAlignment="1" pivotButton="0" quotePrefix="0" xfId="1">
      <alignment horizontal="left" vertical="center"/>
    </xf>
    <xf numFmtId="168" fontId="6" fillId="0" borderId="14" applyAlignment="1" pivotButton="0" quotePrefix="0" xfId="1">
      <alignment horizontal="center" vertical="center"/>
    </xf>
    <xf numFmtId="0" fontId="25" fillId="2" borderId="12" applyAlignment="1" pivotButton="0" quotePrefix="0" xfId="1">
      <alignment horizontal="center" vertical="center" wrapText="1"/>
    </xf>
    <xf numFmtId="165" fontId="24" fillId="2" borderId="12" applyAlignment="1" pivotButton="0" quotePrefix="0" xfId="1">
      <alignment horizontal="center" vertical="center"/>
    </xf>
    <xf numFmtId="165" fontId="24" fillId="0" borderId="12" applyAlignment="1" pivotButton="0" quotePrefix="0" xfId="1">
      <alignment horizontal="center" vertical="center"/>
    </xf>
    <xf numFmtId="168" fontId="24" fillId="0" borderId="12" applyAlignment="1" pivotButton="0" quotePrefix="0" xfId="1">
      <alignment horizontal="center" vertical="center"/>
    </xf>
    <xf numFmtId="168" fontId="24" fillId="2" borderId="12" applyAlignment="1" pivotButton="0" quotePrefix="0" xfId="1">
      <alignment horizontal="center" vertical="center"/>
    </xf>
    <xf numFmtId="166" fontId="34" fillId="0" borderId="0" applyAlignment="1" pivotButton="0" quotePrefix="0" xfId="1">
      <alignment vertical="center"/>
    </xf>
    <xf numFmtId="165" fontId="34" fillId="0" borderId="0" applyAlignment="1" pivotButton="0" quotePrefix="0" xfId="1">
      <alignment vertical="center"/>
    </xf>
    <xf numFmtId="167" fontId="34" fillId="0" borderId="0" applyAlignment="1" pivotButton="0" quotePrefix="0" xfId="1">
      <alignment vertical="center"/>
    </xf>
    <xf numFmtId="0" fontId="23" fillId="0" borderId="12" applyAlignment="1" pivotButton="0" quotePrefix="0" xfId="1">
      <alignment horizontal="center" vertical="center"/>
    </xf>
    <xf numFmtId="165" fontId="26" fillId="0" borderId="12" applyAlignment="1" pivotButton="0" quotePrefix="0" xfId="1">
      <alignment horizontal="center" vertical="center"/>
    </xf>
    <xf numFmtId="168" fontId="26" fillId="0" borderId="12" applyAlignment="1" pivotButton="0" quotePrefix="0" xfId="1">
      <alignment horizontal="center" vertical="center"/>
    </xf>
    <xf numFmtId="167" fontId="40" fillId="0" borderId="0" applyAlignment="1" pivotButton="0" quotePrefix="0" xfId="1">
      <alignment vertical="center"/>
    </xf>
    <xf numFmtId="165" fontId="6" fillId="2" borderId="0" applyAlignment="1" pivotButton="0" quotePrefix="0" xfId="1">
      <alignment horizontal="center" vertical="center"/>
    </xf>
    <xf numFmtId="168" fontId="6" fillId="2" borderId="0" applyAlignment="1" pivotButton="0" quotePrefix="0" xfId="1">
      <alignment horizontal="center" vertical="center"/>
    </xf>
    <xf numFmtId="166" fontId="42" fillId="0" borderId="0" applyAlignment="1" pivotButton="0" quotePrefix="0" xfId="1">
      <alignment vertical="center"/>
    </xf>
    <xf numFmtId="0" fontId="25" fillId="2" borderId="12" applyAlignment="1" pivotButton="0" quotePrefix="0" xfId="1">
      <alignment horizontal="center" vertical="center"/>
    </xf>
    <xf numFmtId="175" fontId="24" fillId="2" borderId="12" applyAlignment="1" pivotButton="0" quotePrefix="0" xfId="1">
      <alignment horizontal="center" vertical="center"/>
    </xf>
    <xf numFmtId="169" fontId="24" fillId="0" borderId="12" applyAlignment="1" pivotButton="0" quotePrefix="0" xfId="1">
      <alignment horizontal="center" vertical="center"/>
    </xf>
    <xf numFmtId="169" fontId="24" fillId="2" borderId="12" applyAlignment="1" pivotButton="0" quotePrefix="0" xfId="1">
      <alignment horizontal="center" vertical="center"/>
    </xf>
    <xf numFmtId="169" fontId="6" fillId="2" borderId="0" applyAlignment="1" pivotButton="0" quotePrefix="0" xfId="1">
      <alignment horizontal="center" vertical="center"/>
    </xf>
    <xf numFmtId="165" fontId="16" fillId="0" borderId="0" applyAlignment="1" pivotButton="0" quotePrefix="0" xfId="1">
      <alignment horizontal="center" vertical="center"/>
    </xf>
    <xf numFmtId="165" fontId="16" fillId="2" borderId="0" applyAlignment="1" pivotButton="0" quotePrefix="0" xfId="1">
      <alignment horizontal="center" vertical="center"/>
    </xf>
    <xf numFmtId="0" fontId="6" fillId="2" borderId="12" applyAlignment="1" pivotButton="0" quotePrefix="0" xfId="1">
      <alignment horizontal="left" vertical="top" wrapText="1"/>
    </xf>
    <xf numFmtId="0" fontId="6" fillId="2" borderId="12" applyAlignment="1" pivotButton="0" quotePrefix="0" xfId="1">
      <alignment horizontal="center" vertical="center" wrapText="1"/>
    </xf>
    <xf numFmtId="0" fontId="0" fillId="0" borderId="13" applyProtection="1" pivotButton="0" quotePrefix="0" xfId="0">
      <protection locked="0" hidden="0"/>
    </xf>
    <xf numFmtId="174" fontId="6" fillId="3" borderId="12" applyAlignment="1" applyProtection="1" pivotButton="0" quotePrefix="0" xfId="1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168" fontId="8" fillId="2" borderId="0" applyAlignment="1" pivotButton="0" quotePrefix="0" xfId="1">
      <alignment vertical="center"/>
    </xf>
    <xf numFmtId="165" fontId="5" fillId="2" borderId="0" applyAlignment="1" pivotButton="0" quotePrefix="0" xfId="1">
      <alignment horizontal="center" vertical="center"/>
    </xf>
    <xf numFmtId="168" fontId="12" fillId="0" borderId="12" applyAlignment="1" pivotButton="0" quotePrefix="0" xfId="1">
      <alignment horizontal="center" vertical="center"/>
    </xf>
    <xf numFmtId="168" fontId="12" fillId="2" borderId="12" applyAlignment="1" pivotButton="0" quotePrefix="0" xfId="1">
      <alignment horizontal="center" vertical="center"/>
    </xf>
    <xf numFmtId="170" fontId="24" fillId="0" borderId="10" applyAlignment="1" pivotButton="0" quotePrefix="0" xfId="1">
      <alignment horizontal="center" vertical="center"/>
    </xf>
    <xf numFmtId="173" fontId="24" fillId="0" borderId="10" applyAlignment="1" pivotButton="0" quotePrefix="0" xfId="1">
      <alignment horizontal="center" vertical="center"/>
    </xf>
    <xf numFmtId="164" fontId="24" fillId="0" borderId="10" applyAlignment="1" pivotButton="0" quotePrefix="0" xfId="1">
      <alignment horizontal="center" vertical="center"/>
    </xf>
    <xf numFmtId="169" fontId="24" fillId="0" borderId="10" applyAlignment="1" pivotButton="0" quotePrefix="0" xfId="1">
      <alignment horizontal="center" vertical="center"/>
    </xf>
    <xf numFmtId="165" fontId="6" fillId="0" borderId="12" applyAlignment="1" pivotButton="0" quotePrefix="0" xfId="1">
      <alignment horizontal="left"/>
    </xf>
    <xf numFmtId="165" fontId="6" fillId="0" borderId="0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applyAlignment="1" pivotButton="0" quotePrefix="0" xfId="1">
      <alignment horizontal="center" vertical="center"/>
    </xf>
    <xf numFmtId="165" fontId="12" fillId="0" borderId="12" applyAlignment="1" pivotButton="0" quotePrefix="0" xfId="1">
      <alignment horizontal="center" vertical="center"/>
    </xf>
    <xf numFmtId="164" fontId="12" fillId="0" borderId="12" applyAlignment="1" pivotButton="0" quotePrefix="0" xfId="1">
      <alignment horizontal="center" vertical="center"/>
    </xf>
    <xf numFmtId="165" fontId="8" fillId="0" borderId="7" applyAlignment="1" pivotButton="0" quotePrefix="0" xfId="1">
      <alignment horizontal="center" vertical="center"/>
    </xf>
    <xf numFmtId="164" fontId="8" fillId="0" borderId="7" applyAlignment="1" pivotButton="0" quotePrefix="0" xfId="1">
      <alignment horizontal="center" vertical="center"/>
    </xf>
    <xf numFmtId="165" fontId="8" fillId="2" borderId="20" applyAlignment="1" pivotButton="0" quotePrefix="0" xfId="1">
      <alignment horizontal="right" vertical="center"/>
    </xf>
    <xf numFmtId="168" fontId="8" fillId="0" borderId="0" applyAlignment="1" pivotButton="0" quotePrefix="0" xfId="1">
      <alignment horizontal="center" vertical="center"/>
    </xf>
    <xf numFmtId="164" fontId="8" fillId="0" borderId="12" applyAlignment="1" pivotButton="0" quotePrefix="0" xfId="1">
      <alignment horizontal="center" vertical="center"/>
    </xf>
    <xf numFmtId="165" fontId="8" fillId="0" borderId="12" applyAlignment="1" pivotButton="0" quotePrefix="0" xfId="1">
      <alignment horizontal="center" vertical="center"/>
    </xf>
    <xf numFmtId="0" fontId="16" fillId="2" borderId="11" applyAlignment="1" pivotButton="0" quotePrefix="0" xfId="1">
      <alignment horizontal="left" vertical="center"/>
    </xf>
    <xf numFmtId="165" fontId="6" fillId="2" borderId="18" applyAlignment="1" pivotButton="0" quotePrefix="0" xfId="1">
      <alignment horizontal="center" vertical="center"/>
    </xf>
    <xf numFmtId="165" fontId="8" fillId="2" borderId="0" applyAlignment="1" pivotButton="0" quotePrefix="0" xfId="1">
      <alignment horizontal="center" vertical="center"/>
    </xf>
    <xf numFmtId="0" fontId="8" fillId="2" borderId="12" applyAlignment="1" pivotButton="0" quotePrefix="0" xfId="1">
      <alignment horizontal="center" vertical="top" wrapText="1"/>
    </xf>
    <xf numFmtId="171" fontId="8" fillId="4" borderId="12" applyAlignment="1" pivotButton="0" quotePrefix="0" xfId="1">
      <alignment horizontal="center" vertical="top" wrapText="1"/>
    </xf>
    <xf numFmtId="168" fontId="8" fillId="5" borderId="12" applyAlignment="1" pivotButton="0" quotePrefix="0" xfId="1">
      <alignment horizontal="center" vertical="top" wrapText="1"/>
    </xf>
    <xf numFmtId="171" fontId="8" fillId="2" borderId="0" applyAlignment="1" pivotButton="0" quotePrefix="0" xfId="1">
      <alignment horizontal="center" vertical="top" wrapText="1"/>
    </xf>
    <xf numFmtId="168" fontId="8" fillId="2" borderId="0" applyAlignment="1" pivotButton="0" quotePrefix="0" xfId="1">
      <alignment horizontal="center" vertical="top" wrapText="1"/>
    </xf>
    <xf numFmtId="0" fontId="12" fillId="2" borderId="12" applyAlignment="1" pivotButton="0" quotePrefix="0" xfId="1">
      <alignment horizontal="center" vertical="top" wrapText="1"/>
    </xf>
    <xf numFmtId="168" fontId="24" fillId="4" borderId="12" applyAlignment="1" pivotButton="0" quotePrefix="0" xfId="1">
      <alignment horizontal="center" vertical="top" wrapText="1"/>
    </xf>
    <xf numFmtId="172" fontId="24" fillId="5" borderId="12" applyAlignment="1" pivotButton="0" quotePrefix="0" xfId="1">
      <alignment horizontal="center" vertical="top" wrapText="1"/>
    </xf>
    <xf numFmtId="164" fontId="34" fillId="0" borderId="0" applyAlignment="1" pivotButton="0" quotePrefix="0" xfId="1">
      <alignment vertical="center"/>
    </xf>
    <xf numFmtId="165" fontId="8" fillId="2" borderId="7" applyAlignment="1" pivotButton="0" quotePrefix="0" xfId="1">
      <alignment horizontal="center" vertical="center"/>
    </xf>
    <xf numFmtId="164" fontId="8" fillId="2" borderId="7" applyAlignment="1" pivotButton="0" quotePrefix="0" xfId="1">
      <alignment horizontal="center" vertical="center"/>
    </xf>
    <xf numFmtId="168" fontId="8" fillId="2" borderId="7" applyAlignment="1" applyProtection="1" pivotButton="0" quotePrefix="0" xfId="1">
      <alignment horizontal="center" vertical="center"/>
      <protection locked="0" hidden="0"/>
    </xf>
    <xf numFmtId="165" fontId="8" fillId="2" borderId="2" applyAlignment="1" pivotButton="0" quotePrefix="0" xfId="1">
      <alignment horizontal="center" vertical="center"/>
    </xf>
    <xf numFmtId="164" fontId="8" fillId="2" borderId="2" applyAlignment="1" pivotButton="0" quotePrefix="0" xfId="1">
      <alignment horizontal="center" vertical="center"/>
    </xf>
    <xf numFmtId="168" fontId="8" fillId="2" borderId="2" applyAlignment="1" applyProtection="1" pivotButton="0" quotePrefix="0" xfId="1">
      <alignment horizontal="center" vertical="center"/>
      <protection locked="0" hidden="0"/>
    </xf>
    <xf numFmtId="164" fontId="8" fillId="2" borderId="0" applyAlignment="1" pivotButton="0" quotePrefix="0" xfId="1">
      <alignment horizontal="center" vertical="center"/>
    </xf>
    <xf numFmtId="168" fontId="8" fillId="2" borderId="0" applyAlignment="1" applyProtection="1" pivotButton="0" quotePrefix="0" xfId="1">
      <alignment horizontal="center" vertical="center"/>
      <protection locked="0" hidden="0"/>
    </xf>
    <xf numFmtId="168" fontId="6" fillId="0" borderId="12" applyAlignment="1" pivotButton="0" quotePrefix="0" xfId="1">
      <alignment horizontal="center" vertical="center"/>
    </xf>
    <xf numFmtId="165" fontId="6" fillId="0" borderId="16" applyAlignment="1" pivotButton="0" quotePrefix="0" xfId="1">
      <alignment horizontal="center" vertical="center"/>
    </xf>
    <xf numFmtId="165" fontId="6" fillId="2" borderId="0" applyAlignment="1" pivotButton="0" quotePrefix="0" xfId="1">
      <alignment horizontal="right" vertical="center" wrapText="1"/>
    </xf>
    <xf numFmtId="165" fontId="9" fillId="2" borderId="0" applyAlignment="1" pivotButton="0" quotePrefix="0" xfId="1">
      <alignment horizontal="left" vertical="center" wrapText="1"/>
    </xf>
    <xf numFmtId="165" fontId="6" fillId="2" borderId="7" applyAlignment="1" pivotButton="0" quotePrefix="0" xfId="1">
      <alignment vertical="center" wrapText="1"/>
    </xf>
    <xf numFmtId="165" fontId="9" fillId="2" borderId="7" applyAlignment="1" pivotButton="0" quotePrefix="0" xfId="1">
      <alignment horizontal="left" vertical="center" wrapText="1"/>
    </xf>
  </cellXfs>
  <cellStyles count="2">
    <cellStyle name="常规" xfId="0" builtinId="0"/>
    <cellStyle name="常规 2" xfId="1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>
          <bgColor rgb="FFFF0000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200" b="0" i="0" u="sng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 altLang="en-US"/>
              <a:t>Belt Take-up</a:t>
            </a:r>
          </a:p>
        </rich>
      </tx>
      <layout>
        <manualLayout>
          <xMode val="edge"/>
          <yMode val="edge"/>
          <wMode val="factor"/>
          <hMode val="factor"/>
          <x val="0.3704613411625142"/>
          <y val="0.06210935448290351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735758380995066"/>
          <y val="0.2081789083193511"/>
          <w val="0.7461213412142284"/>
          <h val="0.6209309026843344"/>
        </manualLayout>
      </layout>
      <lineChart>
        <grouping val="standard"/>
        <varyColors val="0"/>
        <ser>
          <idx val="0"/>
          <order val="0"/>
          <tx>
            <v>ratio</v>
          </tx>
          <spPr>
            <a:ln w="1270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EN_REPORT!$AC$123:$AC$126</f>
              <numCache>
                <formatCode>0_);[Red]\(0\)</formatCode>
                <ptCount val="4"/>
                <pt idx="0">
                  <v>0</v>
                </pt>
                <pt idx="1">
                  <v>4.039793735365606</v>
                </pt>
                <pt idx="2">
                  <v>7.990000000000009</v>
                </pt>
                <pt idx="3">
                  <v>19.03979373536561</v>
                </pt>
              </numCache>
            </numRef>
          </cat>
          <val>
            <numRef>
              <f>EN_REPORT!$AE$123:$AE$126</f>
              <numCache>
                <formatCode>0_);[Red]\(0\)</formatCode>
                <ptCount val="4"/>
                <pt idx="0">
                  <v>0</v>
                </pt>
                <pt idx="1">
                  <v>6</v>
                </pt>
                <pt idx="2">
                  <v>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dropLines>
          <spPr>
            <a:ln w="3175" cap="flat" cmpd="sng" algn="ctr">
              <a:solidFill>
                <a:srgbClr val="000000"/>
              </a:solidFill>
              <a:prstDash val="sysDash"/>
              <a:round/>
            </a:ln>
          </spPr>
        </dropLines>
        <smooth val="0"/>
        <axId val="92223360"/>
        <axId val="92266496"/>
      </lineChart>
      <catAx>
        <axId val="92223360"/>
        <scaling>
          <orientation val="minMax"/>
        </scaling>
        <delete val="0"/>
        <axPos val="b"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0" i="0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zh-CN" altLang="zh-CN" sz="1200" b="0" i="0" strike="noStrike" baseline="0"/>
                  <a:t>△</a:t>
                </a:r>
                <a:r>
                  <a:rPr lang="en-US" altLang="en-US"/>
                  <a:t xml:space="preserve">Tensioner Arm Position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27563522644779"/>
              <y val="0.900826446280992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0_);[Red]\(0\)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ctr" anchorCtr="1"/>
          <a:lstStyle/>
          <a:p>
            <a:pPr>
              <a:defRPr lang="zh-CN" sz="800" b="0" i="0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t>None</a:t>
            </a:r>
            <a:endParaRPr lang="zh-CN"/>
          </a:p>
        </txPr>
        <crossAx val="92266496"/>
        <crosses val="autoZero"/>
        <auto val="1"/>
        <lblAlgn val="ctr"/>
        <lblOffset val="100"/>
        <tickLblSkip val="1"/>
        <noMultiLvlLbl val="0"/>
      </catAx>
      <valAx>
        <axId val="92266496"/>
        <scaling>
          <orientation val="minMax"/>
        </scaling>
        <delete val="0"/>
        <axPos val="l"/>
        <majorGridlines>
          <spPr>
            <a:ln w="3175" cap="flat" cmpd="sng" algn="ctr">
              <a:solidFill>
                <a:srgbClr val="000000"/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en-US" altLang="zh-CN" sz="1000" b="0" i="0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>△</a:t>
                </a:r>
                <a:r>
                  <a:rPr lang="en-US" altLang="zh-CN" sz="1000" b="0" i="0" strike="noStrike" baseline="0">
                    <a:solidFill>
                      <a:srgbClr val="000000"/>
                    </a:solidFill>
                    <a:latin typeface="Times New Roman" panose="02020603050405020304" pitchFamily="12"/>
                    <a:cs typeface="Times New Roman" panose="02020603050405020304" pitchFamily="12"/>
                  </a:rPr>
                  <a:t>Belt [mm]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01827962993987"/>
              <y val="0.351239669421488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0_);[Red]\(0\)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ctr" anchorCtr="1"/>
          <a:lstStyle/>
          <a:p>
            <a:pPr>
              <a:defRPr lang="zh-CN" sz="800" b="0" i="0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t>None</a:t>
            </a:r>
            <a:endParaRPr lang="zh-CN"/>
          </a:p>
        </txPr>
        <crossAx val="92223360"/>
        <crosses val="autoZero"/>
        <crossBetween val="midCat"/>
      </valAx>
    </plotArea>
    <plotVisOnly val="1"/>
    <dispBlanksAs val="gap"/>
  </chart>
  <spPr>
    <a:solidFill>
      <a:srgbClr val="FFFFFF"/>
    </a:solidFill>
    <a:ln w="3175" cap="flat" cmpd="sng" algn="ctr">
      <a:solidFill>
        <a:srgbClr val="000000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400" b="0" i="0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 altLang="en-US"/>
              <a:t>Belt Tension [N]</a:t>
            </a:r>
          </a:p>
        </rich>
      </tx>
      <layout>
        <manualLayout>
          <xMode val="edge"/>
          <yMode val="edge"/>
          <wMode val="factor"/>
          <hMode val="factor"/>
          <x val="0.353075542617306"/>
          <y val="0.0255319148936171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65964143123535"/>
          <y val="0.184397609873235"/>
          <w val="0.646150968322724"/>
          <h val="0.567377226782822"/>
        </manualLayout>
      </layout>
      <lineChart>
        <grouping val="standard"/>
        <varyColors val="0"/>
        <ser>
          <idx val="0"/>
          <order val="0"/>
          <tx>
            <strRef>
              <f>[2]Analysis!$AI$3</f>
              <strCache>
                <ptCount val="1"/>
                <pt idx="0">
                  <v>CRK</v>
                </pt>
              </strCache>
            </strRef>
          </tx>
          <spPr>
            <a:ln w="12700" cap="rnd" cmpd="sng" algn="ctr">
              <a:solidFill>
                <a:srgbClr val="00008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([2]Analysis!$AH$4:$AH$5,[2]Analysis!$AH$7:$AH$8,[2]Analysis!$AH$10:$AH$11,[2]Analysis!$AH$13:$AH$14,[2]Analysis!$AH$16:$AH$17,[2]Analysis!$AH$19:$AH$20)</f>
              <numCache>
                <formatCode>General</formatCode>
                <ptCount val="12"/>
                <pt idx="0">
                  <v>700</v>
                </pt>
                <pt idx="1">
                  <v>1100</v>
                </pt>
                <pt idx="2">
                  <v>1400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</numCache>
            </numRef>
          </cat>
          <val>
            <numRef>
              <f>([2]Analysis!$AI$4:$AI$5,[2]Analysis!$AI$7:$AI$8,[2]Analysis!$AI$10:$AI$11,[2]Analysis!$AI$13:$AI$14,[2]Analysis!$AI$16:$AI$17,[2]Analysis!$AI$19:$AI$20)</f>
              <numCache>
                <formatCode>General</formatCode>
                <ptCount val="12"/>
                <pt idx="0">
                  <v>1890.602706118075</v>
                </pt>
                <pt idx="1">
                  <v>2074.419705260507</v>
                </pt>
                <pt idx="2">
                  <v>1986.478479052077</v>
                </pt>
                <pt idx="3">
                  <v>2099.754573752686</v>
                </pt>
                <pt idx="4">
                  <v>2420.784710239323</v>
                </pt>
                <pt idx="5">
                  <v>2420.784710239323</v>
                </pt>
                <pt idx="6">
                  <v>2420.784710239323</v>
                </pt>
                <pt idx="7">
                  <v>2420.784710239323</v>
                </pt>
                <pt idx="8">
                  <v>2420.784710239323</v>
                </pt>
                <pt idx="9">
                  <v>2420.784710239323</v>
                </pt>
                <pt idx="10">
                  <v>2420.784710239323</v>
                </pt>
                <pt idx="11">
                  <v>2420.784710239323</v>
                </pt>
              </numCache>
            </numRef>
          </val>
          <smooth val="1"/>
        </ser>
        <ser>
          <idx val="1"/>
          <order val="1"/>
          <tx>
            <strRef>
              <f>[2]Analysis!$AJ$3</f>
              <strCache>
                <ptCount val="1"/>
                <pt idx="0">
                  <v>ALT</v>
                </pt>
              </strCache>
            </strRef>
          </tx>
          <spPr>
            <a:ln w="12700" cap="rnd" cmpd="sng" algn="ctr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([2]Analysis!$AH$4:$AH$5,[2]Analysis!$AH$7:$AH$8,[2]Analysis!$AH$10:$AH$11,[2]Analysis!$AH$13:$AH$14,[2]Analysis!$AH$16:$AH$17,[2]Analysis!$AH$19:$AH$20)</f>
              <numCache>
                <formatCode>General</formatCode>
                <ptCount val="12"/>
                <pt idx="0">
                  <v>700</v>
                </pt>
                <pt idx="1">
                  <v>1100</v>
                </pt>
                <pt idx="2">
                  <v>1400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</numCache>
            </numRef>
          </cat>
          <val>
            <numRef>
              <f>([2]Analysis!$AJ$4:$AJ$5,[2]Analysis!$AJ$7:$AJ$8,[2]Analysis!$AJ$10:$AJ$11,[2]Analysis!$AJ$13:$AJ$14,[2]Analysis!$AJ$16:$AJ$17,[2]Analysis!$AJ$19:$AJ$20)</f>
              <numCache>
                <formatCode>General</formatCode>
                <ptCount val="12"/>
                <pt idx="0">
                  <v>1890.602706118075</v>
                </pt>
                <pt idx="1">
                  <v>2074.419705260507</v>
                </pt>
                <pt idx="2">
                  <v>1986.478479052077</v>
                </pt>
                <pt idx="3">
                  <v>2099.754573752686</v>
                </pt>
                <pt idx="4">
                  <v>2420.784710239323</v>
                </pt>
                <pt idx="5">
                  <v>2420.784710239323</v>
                </pt>
                <pt idx="6">
                  <v>2420.784710239323</v>
                </pt>
                <pt idx="7">
                  <v>2420.784710239323</v>
                </pt>
                <pt idx="8">
                  <v>2420.784710239323</v>
                </pt>
                <pt idx="9">
                  <v>2420.784710239323</v>
                </pt>
                <pt idx="10">
                  <v>2420.784710239323</v>
                </pt>
                <pt idx="11">
                  <v>2420.784710239323</v>
                </pt>
              </numCache>
            </numRef>
          </val>
          <smooth val="1"/>
        </ser>
        <ser>
          <idx val="2"/>
          <order val="2"/>
          <tx>
            <strRef>
              <f>[2]Analysis!$AK$3</f>
              <strCache>
                <ptCount val="1"/>
                <pt idx="0">
                  <v>AC</v>
                </pt>
              </strCache>
            </strRef>
          </tx>
          <spPr>
            <a:ln w="12700" cap="rnd" cmpd="sng" algn="ctr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([2]Analysis!$AH$4:$AH$5,[2]Analysis!$AH$7:$AH$8,[2]Analysis!$AH$10:$AH$11,[2]Analysis!$AH$13:$AH$14,[2]Analysis!$AH$16:$AH$17,[2]Analysis!$AH$19:$AH$20)</f>
              <numCache>
                <formatCode>General</formatCode>
                <ptCount val="12"/>
                <pt idx="0">
                  <v>700</v>
                </pt>
                <pt idx="1">
                  <v>1100</v>
                </pt>
                <pt idx="2">
                  <v>1400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</numCache>
            </numRef>
          </cat>
          <val>
            <numRef>
              <f>([2]Analysis!$AK$4:$AK$5,[2]Analysis!$AK$7:$AK$8,[2]Analysis!$AK$10:$AK$11,[2]Analysis!$AK$13:$AK$14,[2]Analysis!$AK$16:$AK$17,[2]Analysis!$AK$19:$AK$20)</f>
              <numCache>
                <formatCode>General</formatCode>
                <ptCount val="12"/>
                <pt idx="0">
                  <v>371.1370081709168</v>
                </pt>
                <pt idx="1">
                  <v>371.1370081709168</v>
                </pt>
                <pt idx="2">
                  <v>371.1370081709168</v>
                </pt>
                <pt idx="3">
                  <v>371.1370081709168</v>
                </pt>
                <pt idx="4">
                  <v>371.1370081709168</v>
                </pt>
                <pt idx="5">
                  <v>371.1370081709168</v>
                </pt>
                <pt idx="6">
                  <v>371.1370081709168</v>
                </pt>
                <pt idx="7">
                  <v>371.1370081709168</v>
                </pt>
                <pt idx="8">
                  <v>371.1370081709168</v>
                </pt>
                <pt idx="9">
                  <v>371.1370081709168</v>
                </pt>
                <pt idx="10">
                  <v>371.1370081709168</v>
                </pt>
                <pt idx="11">
                  <v>371.1370081709168</v>
                </pt>
              </numCache>
            </numRef>
          </val>
          <smooth val="1"/>
        </ser>
        <ser>
          <idx val="3"/>
          <order val="3"/>
          <tx>
            <strRef>
              <f>[2]Analysis!$AL$3</f>
              <strCache>
                <ptCount val="1"/>
                <pt idx="0">
                  <v>TEN</v>
                </pt>
              </strCache>
            </strRef>
          </tx>
          <spPr>
            <a:ln w="12700" cap="rnd" cmpd="sng" algn="ctr">
              <a:solidFill>
                <a:srgbClr val="00FF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([2]Analysis!$AH$4:$AH$5,[2]Analysis!$AH$7:$AH$8,[2]Analysis!$AH$10:$AH$11,[2]Analysis!$AH$13:$AH$14,[2]Analysis!$AH$16:$AH$17,[2]Analysis!$AH$19:$AH$20)</f>
              <numCache>
                <formatCode>General</formatCode>
                <ptCount val="12"/>
                <pt idx="0">
                  <v>700</v>
                </pt>
                <pt idx="1">
                  <v>1100</v>
                </pt>
                <pt idx="2">
                  <v>1400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</numCache>
            </numRef>
          </cat>
          <val>
            <numRef>
              <f>([2]Analysis!$AL$4:$AL$5,[2]Analysis!$AL$7:$AL$8,[2]Analysis!$AL$10:$AL$11,[2]Analysis!$AL$13:$AL$14,[2]Analysis!$AL$16:$AL$17,[2]Analysis!$AL$19:$AL$20)</f>
              <numCache>
                <formatCode>General</formatCode>
                <ptCount val="12"/>
                <pt idx="0">
                  <v>371.1370081709168</v>
                </pt>
                <pt idx="1">
                  <v>371.1370081709168</v>
                </pt>
                <pt idx="2">
                  <v>371.1370081709168</v>
                </pt>
                <pt idx="3">
                  <v>371.1370081709168</v>
                </pt>
                <pt idx="4">
                  <v>371.1370081709168</v>
                </pt>
                <pt idx="5">
                  <v>371.1370081709168</v>
                </pt>
                <pt idx="6">
                  <v>371.1370081709168</v>
                </pt>
                <pt idx="7">
                  <v>371.1370081709168</v>
                </pt>
                <pt idx="8">
                  <v>371.1370081709168</v>
                </pt>
                <pt idx="9">
                  <v>371.1370081709168</v>
                </pt>
                <pt idx="10">
                  <v>371.1370081709168</v>
                </pt>
                <pt idx="11">
                  <v>371.1370081709168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4666112"/>
        <axId val="94684672"/>
      </lineChart>
      <catAx>
        <axId val="94666112"/>
        <scaling>
          <orientation val="minMax"/>
        </scaling>
        <delete val="0"/>
        <axPos val="b"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100" b="0" i="0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en-US" altLang="zh-CN" sz="1000" b="0" i="0" strike="noStrike" baseline="0">
                    <a:solidFill>
                      <a:srgbClr val="000000"/>
                    </a:solidFill>
                    <a:latin typeface="Times New Roman" panose="02020603050405020304" pitchFamily="12"/>
                    <a:cs typeface="Times New Roman" panose="02020603050405020304" pitchFamily="12"/>
                  </a:rPr>
                  <a:t>Engine</a:t>
                </a:r>
                <a:r>
                  <a:rPr lang="en-US" altLang="zh-CN" sz="1000" b="0" i="0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</a:rPr>
                  <a:t xml:space="preserve"> Speed [rpm]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671570637687103"/>
              <y val="0.873870530183278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b" anchorCtr="0"/>
          <a:lstStyle/>
          <a:p>
            <a:pPr>
              <a:defRPr lang="zh-CN" sz="800" b="0" i="0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t>None</a:t>
            </a:r>
            <a:endParaRPr lang="zh-CN"/>
          </a:p>
        </txPr>
        <crossAx val="94684672"/>
        <crosses val="autoZero"/>
        <auto val="1"/>
        <lblAlgn val="ctr"/>
        <lblOffset val="100"/>
        <tickMarkSkip val="1"/>
        <noMultiLvlLbl val="0"/>
      </catAx>
      <valAx>
        <axId val="94684672"/>
        <scaling>
          <orientation val="minMax"/>
        </scaling>
        <delete val="0"/>
        <axPos val="l"/>
        <majorGridlines>
          <spPr>
            <a:ln w="3175" cap="flat" cmpd="sng" algn="ctr">
              <a:solidFill>
                <a:srgbClr val="000000"/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0" i="0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 sz="1000"/>
                  <a:t>Tension [N]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242365583176654"/>
              <y val="0.327660617906324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ctr" anchorCtr="1"/>
          <a:lstStyle/>
          <a:p>
            <a:pPr>
              <a:defRPr lang="zh-CN" sz="875" b="0" i="0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t>None</a:t>
            </a:r>
            <a:endParaRPr lang="zh-CN"/>
          </a:p>
        </txPr>
        <crossAx val="94666112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33713881533189"/>
          <y val="0.170213212710113"/>
          <w val="0.154897731324787"/>
          <h val="0.714894957279285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85" b="0" i="0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rgbClr val="FFFFFF"/>
    </a:solidFill>
    <a:ln w="3175" cap="flat" cmpd="sng" algn="ctr">
      <a:solidFill>
        <a:srgbClr val="000000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625" b="0" i="0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 altLang="en-US"/>
              <a:t>Belt Span Natural Frequency</a:t>
            </a:r>
          </a:p>
        </rich>
      </tx>
      <layout>
        <manualLayout>
          <xMode val="edge"/>
          <yMode val="edge"/>
          <wMode val="factor"/>
          <hMode val="factor"/>
          <x val="0.290780517792923"/>
          <y val="0.045226130653266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22583380006369"/>
          <y val="0.185929648241208"/>
          <w val="0.673162381898909"/>
          <h val="0.5810474823409181"/>
        </manualLayout>
      </layout>
      <lineChart>
        <grouping val="standard"/>
        <varyColors val="0"/>
        <ser>
          <idx val="0"/>
          <order val="0"/>
          <tx>
            <strRef>
              <f>[2]Analysis!$AJ$139</f>
              <strCache>
                <ptCount val="1"/>
                <pt idx="0">
                  <v>CRK</v>
                </pt>
              </strCache>
            </strRef>
          </tx>
          <spPr>
            <a:ln w="12700" cap="rnd" cmpd="sng" algn="ctr">
              <a:solidFill>
                <a:srgbClr val="00008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([2]Analysis!$AH$140:$AH$141,[2]Analysis!$AH$143:$AH$144,[2]Analysis!$AH$146:$AH$147,[2]Analysis!$AH$149:$AH$150,[2]Analysis!$AH$152:$AH$153,[2]Analysis!$AH$155:$AH$156)</f>
              <numCache>
                <formatCode>General</formatCode>
                <ptCount val="12"/>
                <pt idx="0">
                  <v>700</v>
                </pt>
                <pt idx="1">
                  <v>1100</v>
                </pt>
                <pt idx="2">
                  <v>1400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</numCache>
            </numRef>
          </cat>
          <val>
            <numRef>
              <f>([2]Analysis!$AJ$140:$AJ$141,[2]Analysis!$AJ$143:$AJ$144,[2]Analysis!$AJ$146:$AJ$147,[2]Analysis!$AJ$149:$AJ$150,[2]Analysis!$AJ$152:$AJ$153,[2]Analysis!$AJ$155:$AJ$156)</f>
              <numCache>
                <formatCode>General</formatCode>
                <ptCount val="12"/>
                <pt idx="0">
                  <v>231.4451404366358</v>
                </pt>
                <pt idx="1">
                  <v>242.4355163684587</v>
                </pt>
                <pt idx="2">
                  <v>237.2410628951205</v>
                </pt>
                <pt idx="3">
                  <v>243.9114549870403</v>
                </pt>
                <pt idx="4">
                  <v>261.8942797504081</v>
                </pt>
                <pt idx="5">
                  <v>261.8942797504081</v>
                </pt>
                <pt idx="6">
                  <v>261.8942797504081</v>
                </pt>
                <pt idx="7">
                  <v>261.8942797504081</v>
                </pt>
                <pt idx="8">
                  <v>261.8942797504081</v>
                </pt>
                <pt idx="9">
                  <v>261.8942797504081</v>
                </pt>
                <pt idx="10">
                  <v>261.8942797504081</v>
                </pt>
                <pt idx="11">
                  <v>261.8942797504081</v>
                </pt>
              </numCache>
            </numRef>
          </val>
          <smooth val="1"/>
        </ser>
        <ser>
          <idx val="1"/>
          <order val="1"/>
          <tx>
            <strRef>
              <f>[2]Analysis!$AK$139</f>
              <strCache>
                <ptCount val="1"/>
                <pt idx="0">
                  <v>ALT</v>
                </pt>
              </strCache>
            </strRef>
          </tx>
          <spPr>
            <a:ln w="12700" cap="rnd" cmpd="sng" algn="ctr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([2]Analysis!$AH$140:$AH$141,[2]Analysis!$AH$143:$AH$144,[2]Analysis!$AH$146:$AH$147,[2]Analysis!$AH$149:$AH$150,[2]Analysis!$AH$152:$AH$153,[2]Analysis!$AH$155:$AH$156)</f>
              <numCache>
                <formatCode>General</formatCode>
                <ptCount val="12"/>
                <pt idx="0">
                  <v>700</v>
                </pt>
                <pt idx="1">
                  <v>1100</v>
                </pt>
                <pt idx="2">
                  <v>1400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</numCache>
            </numRef>
          </cat>
          <val>
            <numRef>
              <f>([2]Analysis!$AK$140:$AK$141,[2]Analysis!$AK$143:$AK$144,[2]Analysis!$AK$146:$AK$147,[2]Analysis!$AK$149:$AK$150,[2]Analysis!$AK$152:$AK$153,[2]Analysis!$AK$155:$AK$156)</f>
              <numCache>
                <formatCode>General</formatCode>
                <ptCount val="12"/>
                <pt idx="0">
                  <v>278.3934313316311</v>
                </pt>
                <pt idx="1">
                  <v>291.6131881237268</v>
                </pt>
                <pt idx="2">
                  <v>285.365047749697</v>
                </pt>
                <pt idx="3">
                  <v>293.3885186218597</v>
                </pt>
                <pt idx="4">
                  <v>315.0191317402198</v>
                </pt>
                <pt idx="5">
                  <v>315.0191317402198</v>
                </pt>
                <pt idx="6">
                  <v>315.0191317402198</v>
                </pt>
                <pt idx="7">
                  <v>315.0191317402198</v>
                </pt>
                <pt idx="8">
                  <v>315.0191317402198</v>
                </pt>
                <pt idx="9">
                  <v>315.0191317402198</v>
                </pt>
                <pt idx="10">
                  <v>315.0191317402198</v>
                </pt>
                <pt idx="11">
                  <v>315.0191317402198</v>
                </pt>
              </numCache>
            </numRef>
          </val>
          <smooth val="1"/>
        </ser>
        <ser>
          <idx val="2"/>
          <order val="2"/>
          <tx>
            <strRef>
              <f>[2]Analysis!$AL$139</f>
              <strCache>
                <ptCount val="1"/>
                <pt idx="0">
                  <v>AC</v>
                </pt>
              </strCache>
            </strRef>
          </tx>
          <spPr>
            <a:ln w="12700" cap="rnd" cmpd="sng" algn="ctr">
              <a:solidFill>
                <a:srgbClr val="33333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([2]Analysis!$AH$140:$AH$141,[2]Analysis!$AH$143:$AH$144,[2]Analysis!$AH$146:$AH$147,[2]Analysis!$AH$149:$AH$150,[2]Analysis!$AH$152:$AH$153,[2]Analysis!$AH$155:$AH$156)</f>
              <numCache>
                <formatCode>General</formatCode>
                <ptCount val="12"/>
                <pt idx="0">
                  <v>700</v>
                </pt>
                <pt idx="1">
                  <v>1100</v>
                </pt>
                <pt idx="2">
                  <v>1400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</numCache>
            </numRef>
          </cat>
          <val>
            <numRef>
              <f>([2]Analysis!$AL$140:$AL$141,[2]Analysis!$AL$143:$AL$144,[2]Analysis!$AL$146:$AL$147,[2]Analysis!$AL$149:$AL$150,[2]Analysis!$AL$152:$AL$153,[2]Analysis!$AL$155:$AL$156)</f>
              <numCache>
                <formatCode>General</formatCode>
                <ptCount val="12"/>
                <pt idx="0">
                  <v>220.8872092927793</v>
                </pt>
                <pt idx="1">
                  <v>220.8872092927793</v>
                </pt>
                <pt idx="2">
                  <v>220.8872092927793</v>
                </pt>
                <pt idx="3">
                  <v>220.8872092927793</v>
                </pt>
                <pt idx="4">
                  <v>220.8872092927793</v>
                </pt>
                <pt idx="5">
                  <v>220.8872092927793</v>
                </pt>
                <pt idx="6">
                  <v>220.8872092927793</v>
                </pt>
                <pt idx="7">
                  <v>220.8872092927793</v>
                </pt>
                <pt idx="8">
                  <v>220.8872092927793</v>
                </pt>
                <pt idx="9">
                  <v>220.8872092927793</v>
                </pt>
                <pt idx="10">
                  <v>220.8872092927793</v>
                </pt>
                <pt idx="11">
                  <v>220.8872092927793</v>
                </pt>
              </numCache>
            </numRef>
          </val>
          <smooth val="1"/>
        </ser>
        <ser>
          <idx val="3"/>
          <order val="3"/>
          <tx>
            <strRef>
              <f>[2]Analysis!$AM$139</f>
              <strCache>
                <ptCount val="1"/>
                <pt idx="0">
                  <v>TEN</v>
                </pt>
              </strCache>
            </strRef>
          </tx>
          <spPr>
            <a:ln w="12700" cap="rnd" cmpd="sng" algn="ctr">
              <a:solidFill>
                <a:srgbClr val="00FF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([2]Analysis!$AH$140:$AH$141,[2]Analysis!$AH$143:$AH$144,[2]Analysis!$AH$146:$AH$147,[2]Analysis!$AH$149:$AH$150,[2]Analysis!$AH$152:$AH$153,[2]Analysis!$AH$155:$AH$156)</f>
              <numCache>
                <formatCode>General</formatCode>
                <ptCount val="12"/>
                <pt idx="0">
                  <v>700</v>
                </pt>
                <pt idx="1">
                  <v>1100</v>
                </pt>
                <pt idx="2">
                  <v>1400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</numCache>
            </numRef>
          </cat>
          <val>
            <numRef>
              <f>([2]Analysis!$AM$140:$AM$141,[2]Analysis!$AM$143:$AM$144,[2]Analysis!$AM$146:$AM$147,[2]Analysis!$AM$149:$AM$150,[2]Analysis!$AM$152:$AM$153,[2]Analysis!$AM$155:$AM$156)</f>
              <numCache>
                <formatCode>General</formatCode>
                <ptCount val="12"/>
                <pt idx="0">
                  <v>242.6160395794431</v>
                </pt>
                <pt idx="1">
                  <v>242.6160395794431</v>
                </pt>
                <pt idx="2">
                  <v>242.6160395794431</v>
                </pt>
                <pt idx="3">
                  <v>242.6160395794431</v>
                </pt>
                <pt idx="4">
                  <v>242.6160395794431</v>
                </pt>
                <pt idx="5">
                  <v>242.6160395794431</v>
                </pt>
                <pt idx="6">
                  <v>242.6160395794431</v>
                </pt>
                <pt idx="7">
                  <v>242.6160395794431</v>
                </pt>
                <pt idx="8">
                  <v>242.6160395794431</v>
                </pt>
                <pt idx="9">
                  <v>242.6160395794431</v>
                </pt>
                <pt idx="10">
                  <v>242.6160395794431</v>
                </pt>
                <pt idx="11">
                  <v>242.6160395794431</v>
                </pt>
              </numCache>
            </numRef>
          </val>
          <smooth val="1"/>
        </ser>
        <ser>
          <idx val="4"/>
          <order val="4"/>
          <tx>
            <v>Engine order 2</v>
          </tx>
          <spPr>
            <a:ln w="25400" cap="rnd" cmpd="sng" algn="ctr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([2]Analysis!$AH$140:$AH$141,[2]Analysis!$AH$143:$AH$144,[2]Analysis!$AH$146:$AH$147,[2]Analysis!$AH$149:$AH$150,[2]Analysis!$AH$152:$AH$153,[2]Analysis!$AH$155:$AH$156)</f>
              <numCache>
                <formatCode>General</formatCode>
                <ptCount val="12"/>
                <pt idx="0">
                  <v>700</v>
                </pt>
                <pt idx="1">
                  <v>1100</v>
                </pt>
                <pt idx="2">
                  <v>1400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</numCache>
            </numRef>
          </cat>
          <val>
            <numRef>
              <f>([2]Analysis!$AE$140:$AE$141,[2]Analysis!$AE$143:$AE$144,[2]Analysis!$AE$146:$AE$147,[2]Analysis!$AE$149:$AE$150,[2]Analysis!$AE$152:$AE$153,[2]Analysis!$AE$155:$AE$156)</f>
              <numCache>
                <formatCode>General</formatCode>
                <ptCount val="12"/>
                <pt idx="0">
                  <v>23.33333333333333</v>
                </pt>
                <pt idx="1">
                  <v>36.66666666666666</v>
                </pt>
                <pt idx="2">
                  <v>46.66666666666666</v>
                </pt>
                <pt idx="3">
                  <v>63.33333333333334</v>
                </pt>
                <pt idx="4">
                  <v>80</v>
                </pt>
                <pt idx="5">
                  <v>80</v>
                </pt>
                <pt idx="6">
                  <v>80</v>
                </pt>
                <pt idx="7">
                  <v>80</v>
                </pt>
                <pt idx="8">
                  <v>80</v>
                </pt>
                <pt idx="9">
                  <v>80</v>
                </pt>
                <pt idx="10">
                  <v>80</v>
                </pt>
                <pt idx="11">
                  <v>80</v>
                </pt>
              </numCache>
            </numRef>
          </val>
          <smooth val="1"/>
        </ser>
        <ser>
          <idx val="5"/>
          <order val="5"/>
          <tx>
            <v>Engine order 3</v>
          </tx>
          <spPr>
            <a:ln w="25400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([2]Analysis!$AH$140:$AH$141,[2]Analysis!$AH$143:$AH$144,[2]Analysis!$AH$146:$AH$147,[2]Analysis!$AH$149:$AH$150,[2]Analysis!$AH$152:$AH$153,[2]Analysis!$AH$155:$AH$156)</f>
              <numCache>
                <formatCode>General</formatCode>
                <ptCount val="12"/>
                <pt idx="0">
                  <v>700</v>
                </pt>
                <pt idx="1">
                  <v>1100</v>
                </pt>
                <pt idx="2">
                  <v>1400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</numCache>
            </numRef>
          </cat>
          <val>
            <numRef>
              <f>([2]Analysis!$AD$140:$AD$141,[2]Analysis!$AD$143:$AD$144,[2]Analysis!$AD$146:$AD$147,[2]Analysis!$AD$149:$AD$150,[2]Analysis!$AD$152:$AD$153,[2]Analysis!$AD$155:$AD$156)</f>
              <numCache>
                <formatCode>General</formatCode>
                <ptCount val="12"/>
                <pt idx="0">
                  <v>35</v>
                </pt>
                <pt idx="1">
                  <v>55</v>
                </pt>
                <pt idx="2">
                  <v>70</v>
                </pt>
                <pt idx="3">
                  <v>95</v>
                </pt>
                <pt idx="4">
                  <v>120</v>
                </pt>
                <pt idx="5">
                  <v>120</v>
                </pt>
                <pt idx="6">
                  <v>120</v>
                </pt>
                <pt idx="7">
                  <v>120</v>
                </pt>
                <pt idx="8">
                  <v>120</v>
                </pt>
                <pt idx="9">
                  <v>120</v>
                </pt>
                <pt idx="10">
                  <v>120</v>
                </pt>
                <pt idx="11">
                  <v>120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4792320"/>
        <axId val="94810880"/>
      </lineChart>
      <catAx>
        <axId val="94792320"/>
        <scaling>
          <orientation val="minMax"/>
        </scaling>
        <delete val="0"/>
        <axPos val="b"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200" b="0" i="0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/>
                  <a:t xml:space="preserve"> Engine Speed [rpm]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63121040444979"/>
              <y val="0.92294807370184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5400000" spcFirstLastPara="0" vertOverflow="ellipsis" vert="horz" wrap="square" anchor="ctr" anchorCtr="1"/>
          <a:lstStyle/>
          <a:p>
            <a:pPr>
              <a:defRPr lang="zh-CN" sz="1200" b="0" i="0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t>None</a:t>
            </a:r>
            <a:endParaRPr lang="zh-CN"/>
          </a:p>
        </txPr>
        <crossAx val="94810880"/>
        <crosses val="autoZero"/>
        <auto val="1"/>
        <lblAlgn val="ctr"/>
        <lblOffset val="100"/>
        <noMultiLvlLbl val="0"/>
      </catAx>
      <valAx>
        <axId val="94810880"/>
        <scaling>
          <orientation val="minMax"/>
        </scaling>
        <delete val="0"/>
        <axPos val="l"/>
        <majorGridlines>
          <spPr>
            <a:ln w="3175" cap="flat" cmpd="sng" algn="ctr">
              <a:solidFill>
                <a:schemeClr val="tx1"/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200" b="0" i="0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/>
                  <a:t xml:space="preserve">Belt Span Natural Frequency [Hz]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00241116424263"/>
              <y val="0.219430485762148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ctr" anchorCtr="1"/>
          <a:lstStyle/>
          <a:p>
            <a:pPr>
              <a:defRPr lang="zh-CN" sz="1200" b="0" i="0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t>None</a:t>
            </a:r>
            <a:endParaRPr lang="zh-CN"/>
          </a:p>
        </txPr>
        <crossAx val="9479232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05049088359047"/>
          <y val="0.173366834170854"/>
          <w val="0.180925666199158"/>
          <h val="0.655778894472368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010" b="0" i="0" strike="noStrike" kern="1200" baseline="0">
              <a:solidFill>
                <a:srgbClr val="000000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</a:defRPr>
          </a:pPr>
          <a:r>
            <a:t>None</a:t>
          </a:r>
          <a:endParaRPr lang="zh-CN"/>
        </a:p>
      </txPr>
    </legend>
    <plotVisOnly val="0"/>
    <dispBlanksAs val="gap"/>
  </chart>
  <spPr>
    <a:solidFill>
      <a:srgbClr val="FFFFFF"/>
    </a:solidFill>
    <a:ln w="3175" cap="flat" cmpd="sng" algn="ctr">
      <a:solidFill>
        <a:srgbClr val="000000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400" b="0" i="0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 altLang="en-US"/>
              <a:t>Belt Slip Safety factor</a:t>
            </a:r>
          </a:p>
        </rich>
      </tx>
      <layout>
        <manualLayout>
          <xMode val="edge"/>
          <yMode val="edge"/>
          <wMode val="factor"/>
          <hMode val="factor"/>
          <x val="0.360284186075622"/>
          <y val="0.0773480662983425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3546242722523"/>
          <y val="0.215469613259669"/>
          <w val="0.756029416042534"/>
          <h val="0.571823204419901"/>
        </manualLayout>
      </layout>
      <lineChart>
        <grouping val="standard"/>
        <varyColors val="0"/>
        <ser>
          <idx val="0"/>
          <order val="0"/>
          <tx>
            <strRef>
              <f>[2]Analysis!$U$74</f>
              <strCache>
                <ptCount val="1"/>
                <pt idx="0">
                  <v>CRK</v>
                </pt>
              </strCache>
            </strRef>
          </tx>
          <spPr>
            <a:ln w="12700" cap="rnd" cmpd="sng" algn="ctr">
              <a:solidFill>
                <a:srgbClr val="00008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([2]Analysis!$AH$92:$AH$94,[2]Analysis!$AH$96:$AH$98,[2]Analysis!$AH$100:$AH$102,[2]Analysis!$AH$104:$AH$106,[2]Analysis!$AH$108)</f>
              <numCache>
                <formatCode>General</formatCode>
                <ptCount val="13"/>
                <pt idx="0">
                  <v>700</v>
                </pt>
                <pt idx="1">
                  <v>1100</v>
                </pt>
                <pt idx="2">
                  <v>1300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  <pt idx="12">
                  <v>2400</v>
                </pt>
              </numCache>
            </numRef>
          </cat>
          <val>
            <numRef>
              <f>([2]Analysis!$AI$92:$AI$94,[2]Analysis!$AI$96:$AI$98,[2]Analysis!$AI$100:$AI$102,[2]Analysis!$AI$104:$AI$106,[2]Analysis!$AI$108)</f>
              <numCache>
                <formatCode>General</formatCode>
                <ptCount val="13"/>
                <pt idx="0">
                  <v>1.690726314720215</v>
                </pt>
                <pt idx="1">
                  <v>1.548540474235517</v>
                </pt>
                <pt idx="2">
                  <v>1.603928223776204</v>
                </pt>
                <pt idx="3">
                  <v>1.530797203470803</v>
                </pt>
                <pt idx="4">
                  <v>1.336718365562901</v>
                </pt>
                <pt idx="5">
                  <v>1.336718365562901</v>
                </pt>
                <pt idx="6">
                  <v>1.336718365562901</v>
                </pt>
                <pt idx="7">
                  <v>1.336718365562901</v>
                </pt>
                <pt idx="8">
                  <v>1.336718365562901</v>
                </pt>
                <pt idx="9">
                  <v>1.336718365562901</v>
                </pt>
                <pt idx="10">
                  <v>1.336718365562901</v>
                </pt>
                <pt idx="11">
                  <v>1.336718365562901</v>
                </pt>
                <pt idx="12">
                  <v>1.336718365562901</v>
                </pt>
              </numCache>
            </numRef>
          </val>
          <smooth val="1"/>
        </ser>
        <ser>
          <idx val="1"/>
          <order val="1"/>
          <tx>
            <strRef>
              <f>[2]Analysis!$V$74</f>
              <strCache>
                <ptCount val="1"/>
                <pt idx="0">
                  <v>ALT</v>
                </pt>
              </strCache>
            </strRef>
          </tx>
          <spPr>
            <a:ln w="12700" cap="rnd" cmpd="sng" algn="ctr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([2]Analysis!$AH$92:$AH$94,[2]Analysis!$AH$96:$AH$98,[2]Analysis!$AH$100:$AH$102,[2]Analysis!$AH$104:$AH$106,[2]Analysis!$AH$108)</f>
              <numCache>
                <formatCode>General</formatCode>
                <ptCount val="13"/>
                <pt idx="0">
                  <v>700</v>
                </pt>
                <pt idx="1">
                  <v>1100</v>
                </pt>
                <pt idx="2">
                  <v>1300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  <pt idx="12">
                  <v>2400</v>
                </pt>
              </numCache>
            </numRef>
          </cat>
          <val>
            <numRef>
              <f>([2]Analysis!$AJ$92:$AJ$94,[2]Analysis!$AJ$96:$AJ$98,[2]Analysis!$AJ$100:$AJ$102,[2]Analysis!$AJ$104:$AJ$106,[2]Analysis!$AJ$108)</f>
              <numCache>
                <formatCode>General</formatCode>
                <ptCount val="13"/>
                <pt idx="0">
                  <v>1.922216313129999</v>
                </pt>
                <pt idx="1">
                  <v>1.922216313129999</v>
                </pt>
                <pt idx="2">
                  <v>1.922216313129999</v>
                </pt>
                <pt idx="3">
                  <v>1.922216313129999</v>
                </pt>
                <pt idx="4">
                  <v>1.922216313129999</v>
                </pt>
                <pt idx="5">
                  <v>1.922216313129999</v>
                </pt>
                <pt idx="6">
                  <v>1.922216313129999</v>
                </pt>
                <pt idx="7">
                  <v>1.922216313129999</v>
                </pt>
                <pt idx="8">
                  <v>1.922216313129999</v>
                </pt>
                <pt idx="9">
                  <v>1.922216313129999</v>
                </pt>
                <pt idx="10">
                  <v>1.922216313129999</v>
                </pt>
                <pt idx="11">
                  <v>1.922216313129999</v>
                </pt>
                <pt idx="12">
                  <v>1.922216313129999</v>
                </pt>
              </numCache>
            </numRef>
          </val>
          <smooth val="1"/>
        </ser>
        <ser>
          <idx val="2"/>
          <order val="2"/>
          <tx>
            <strRef>
              <f>[2]Analysis!$W$74</f>
              <strCache>
                <ptCount val="1"/>
                <pt idx="0">
                  <v>AC</v>
                </pt>
              </strCache>
            </strRef>
          </tx>
          <spPr>
            <a:ln w="12700" cap="rnd" cmpd="sng" algn="ctr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([2]Analysis!$AH$92:$AH$94,[2]Analysis!$AH$96:$AH$98,[2]Analysis!$AH$100:$AH$102,[2]Analysis!$AH$104:$AH$106,[2]Analysis!$AH$108)</f>
              <numCache>
                <formatCode>General</formatCode>
                <ptCount val="13"/>
                <pt idx="0">
                  <v>700</v>
                </pt>
                <pt idx="1">
                  <v>1100</v>
                </pt>
                <pt idx="2">
                  <v>1300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  <pt idx="12">
                  <v>2400</v>
                </pt>
              </numCache>
            </numRef>
          </cat>
          <val>
            <numRef>
              <f>([2]Analysis!$AK$92:$AK$94,[2]Analysis!$AK$96:$AK$98,[2]Analysis!$AK$100:$AK$102,[2]Analysis!$AK$104:$AK$106,[2]Analysis!$AK$108)</f>
              <numCache>
                <formatCode>General</formatCode>
                <ptCount val="13"/>
                <pt idx="0">
                  <v>1.554901571921992</v>
                </pt>
                <pt idx="1">
                  <v>1.424138251478084</v>
                </pt>
                <pt idx="2">
                  <v>1.475076418156047</v>
                </pt>
                <pt idx="3">
                  <v>1.407820388934106</v>
                </pt>
                <pt idx="4">
                  <v>1.229332902513379</v>
                </pt>
                <pt idx="5">
                  <v>1.229332902513379</v>
                </pt>
                <pt idx="6">
                  <v>1.229332902513379</v>
                </pt>
                <pt idx="7">
                  <v>1.229332902513379</v>
                </pt>
                <pt idx="8">
                  <v>1.229332902513379</v>
                </pt>
                <pt idx="9">
                  <v>1.229332902513379</v>
                </pt>
                <pt idx="10">
                  <v>1.229332902513379</v>
                </pt>
                <pt idx="11">
                  <v>1.229332902513379</v>
                </pt>
                <pt idx="12">
                  <v>1.229332902513379</v>
                </pt>
              </numCache>
            </numRef>
          </val>
          <smooth val="1"/>
        </ser>
        <ser>
          <idx val="3"/>
          <order val="3"/>
          <tx>
            <strRef>
              <f>[2]Analysis!$X$74</f>
              <strCache>
                <ptCount val="1"/>
                <pt idx="0">
                  <v>TEN</v>
                </pt>
              </strCache>
            </strRef>
          </tx>
          <spPr>
            <a:ln w="12700" cap="rnd" cmpd="sng" algn="ctr">
              <a:solidFill>
                <a:srgbClr val="00FF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([2]Analysis!$AH$92:$AH$94,[2]Analysis!$AH$96:$AH$98,[2]Analysis!$AH$100:$AH$102,[2]Analysis!$AH$104:$AH$106,[2]Analysis!$AH$108)</f>
              <numCache>
                <formatCode>General</formatCode>
                <ptCount val="13"/>
                <pt idx="0">
                  <v>700</v>
                </pt>
                <pt idx="1">
                  <v>1100</v>
                </pt>
                <pt idx="2">
                  <v>1300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  <pt idx="11">
                  <v>2400</v>
                </pt>
                <pt idx="12">
                  <v>2400</v>
                </pt>
              </numCache>
            </numRef>
          </cat>
          <val>
            <numRef>
              <f>([2]Analysis!$AL$92:$AL$94,[2]Analysis!$AL$96:$AL$98,[2]Analysis!$AL$100:$AL$102,[2]Analysis!$AL$104:$AL$106,[2]Analysis!$AL$108)</f>
              <numCache>
                <formatCode>General</formatCode>
                <ptCount val="13"/>
                <pt idx="0">
                  <v>1.905089704191893</v>
                </pt>
                <pt idx="1">
                  <v>1.905089704191893</v>
                </pt>
                <pt idx="2">
                  <v>1.905089704191893</v>
                </pt>
                <pt idx="3">
                  <v>1.905089704191893</v>
                </pt>
                <pt idx="4">
                  <v>1.905089704191893</v>
                </pt>
                <pt idx="5">
                  <v>1.905089704191893</v>
                </pt>
                <pt idx="6">
                  <v>1.905089704191893</v>
                </pt>
                <pt idx="7">
                  <v>1.905089704191893</v>
                </pt>
                <pt idx="8">
                  <v>1.905089704191893</v>
                </pt>
                <pt idx="9">
                  <v>1.905089704191893</v>
                </pt>
                <pt idx="10">
                  <v>1.905089704191893</v>
                </pt>
                <pt idx="11">
                  <v>1.905089704191893</v>
                </pt>
                <pt idx="12">
                  <v>1.905089704191893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4842880"/>
        <axId val="94844800"/>
      </lineChart>
      <catAx>
        <axId val="94842880"/>
        <scaling>
          <orientation val="minMax"/>
        </scaling>
        <delete val="0"/>
        <axPos val="b"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200" b="0" i="0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/>
                  <a:t>Engine Speed [rpm]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387329571180889"/>
              <y val="0.909760589318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ctr" anchorCtr="1"/>
          <a:lstStyle/>
          <a:p>
            <a:pPr>
              <a:defRPr lang="zh-CN" sz="1200" b="0" i="0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t>None</a:t>
            </a:r>
            <a:endParaRPr lang="zh-CN"/>
          </a:p>
        </txPr>
        <crossAx val="94844800"/>
        <crosses val="autoZero"/>
        <auto val="1"/>
        <lblAlgn val="ctr"/>
        <lblOffset val="100"/>
        <tickLblSkip val="2"/>
        <noMultiLvlLbl val="0"/>
      </catAx>
      <valAx>
        <axId val="94844800"/>
        <scaling>
          <orientation val="minMax"/>
          <max val="10"/>
          <min val="0"/>
        </scaling>
        <delete val="0"/>
        <axPos val="l"/>
        <majorGridlines>
          <spPr>
            <a:ln w="3175" cap="flat" cmpd="sng" algn="ctr">
              <a:solidFill>
                <a:srgbClr val="000000"/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200" b="0" i="0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/>
                  <a:t>Slip factor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1347564724115"/>
              <y val="0.40883977900552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ctr" anchorCtr="1"/>
          <a:lstStyle/>
          <a:p>
            <a:pPr>
              <a:defRPr lang="zh-CN" sz="1200" b="0" i="0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t>None</a:t>
            </a:r>
            <a:endParaRPr lang="zh-CN"/>
          </a:p>
        </txPr>
        <crossAx val="94842880"/>
        <crosses val="autoZero"/>
        <crossBetween val="between"/>
        <majorUnit val="1"/>
        <minorUnit val="1"/>
      </valAx>
    </plotArea>
    <legend>
      <legendPos val="r"/>
      <legendEntry>
        <idx val="0"/>
        <delete val="0"/>
        <txPr>
          <a:bodyPr rot="0" spcFirstLastPara="0" vertOverflow="ellipsis" vert="horz" wrap="square" anchor="ctr" anchorCtr="1"/>
          <a:lstStyle/>
          <a:p>
            <a:pPr>
              <a:defRPr lang="zh-CN" sz="1010" b="0" i="0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t>None</a:t>
            </a:r>
            <a:endParaRPr lang="zh-CN"/>
          </a:p>
        </txPr>
      </legendEntry>
      <legendEntry>
        <idx val="1"/>
        <delete val="0"/>
        <txPr>
          <a:bodyPr rot="0" spcFirstLastPara="0" vertOverflow="ellipsis" vert="horz" wrap="square" anchor="ctr" anchorCtr="1"/>
          <a:lstStyle/>
          <a:p>
            <a:pPr>
              <a:defRPr lang="zh-CN" sz="1010" b="0" i="0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t>None</a:t>
            </a:r>
            <a:endParaRPr lang="zh-CN"/>
          </a:p>
        </txPr>
      </legendEntry>
      <legendEntry>
        <idx val="2"/>
        <delete val="0"/>
        <txPr>
          <a:bodyPr rot="0" spcFirstLastPara="0" vertOverflow="ellipsis" vert="horz" wrap="square" anchor="ctr" anchorCtr="1"/>
          <a:lstStyle/>
          <a:p>
            <a:pPr>
              <a:defRPr lang="zh-CN" sz="1010" b="0" i="0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t>None</a:t>
            </a:r>
            <a:endParaRPr lang="zh-CN"/>
          </a:p>
        </txPr>
      </legendEntry>
      <layout>
        <manualLayout>
          <xMode val="edge"/>
          <yMode val="edge"/>
          <wMode val="factor"/>
          <hMode val="factor"/>
          <x val="0.880852263733513"/>
          <y val="0.0552486187845304"/>
          <w val="0.112056925563126"/>
          <h val="0.872928176795589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010" b="0" i="0" strike="noStrike" kern="1200" baseline="0">
              <a:solidFill>
                <a:srgbClr val="000000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rgbClr val="FFFFFF"/>
    </a:solidFill>
    <a:ln w="3175" cap="flat" cmpd="sng" algn="ctr">
      <a:solidFill>
        <a:srgbClr val="000000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200" b="0" i="0" u="sng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 altLang="en-US"/>
              <a:t>Arm Travel VS Belt Tension</a:t>
            </a:r>
          </a:p>
        </rich>
      </tx>
      <layout>
        <manualLayout>
          <xMode val="edge"/>
          <yMode val="edge"/>
          <wMode val="factor"/>
          <hMode val="factor"/>
          <x val="0.07365441819772529"/>
          <y val="0.0778688524590164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71450568678915"/>
          <y val="0.248634310055505"/>
          <w val="0.802371245261009"/>
          <h val="0.543717137816789"/>
        </manualLayout>
      </layout>
      <lineChart>
        <grouping val="standard"/>
        <varyColors val="0"/>
        <ser>
          <idx val="0"/>
          <order val="0"/>
          <tx>
            <v>max vlue</v>
          </tx>
          <spPr>
            <a:ln w="12700" cap="rnd" cmpd="sng" algn="ctr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[2]Input!$I$34:$I$39</f>
              <numCache>
                <formatCode>General</formatCode>
                <ptCount val="6"/>
                <pt idx="0">
                  <v>40</v>
                </pt>
                <pt idx="1">
                  <v>28.9502062646344</v>
                </pt>
                <pt idx="2">
                  <v>25</v>
                </pt>
                <pt idx="3">
                  <v>20.96020626463439</v>
                </pt>
                <pt idx="4">
                  <v>13.17020626463443</v>
                </pt>
                <pt idx="5">
                  <v>0</v>
                </pt>
              </numCache>
            </numRef>
          </cat>
          <val>
            <numRef>
              <f>[2]Input!$K$34:$K$39</f>
              <numCache>
                <formatCode>General</formatCode>
                <ptCount val="6"/>
                <pt idx="1">
                  <v>416.5957143322038</v>
                </pt>
                <pt idx="2">
                  <v>408.2507089880085</v>
                </pt>
                <pt idx="3">
                  <v>400.6845413588859</v>
                </pt>
                <pt idx="4">
                  <v>388.2890683602818</v>
                </pt>
                <pt idx="5">
                  <v>371.7078423199603</v>
                </pt>
              </numCache>
            </numRef>
          </val>
          <smooth val="1"/>
        </ser>
        <ser>
          <idx val="1"/>
          <order val="1"/>
          <tx>
            <v>mean vlue</v>
          </tx>
          <spPr>
            <a:ln w="2540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[2]Input!$I$34:$I$39</f>
              <numCache>
                <formatCode>General</formatCode>
                <ptCount val="6"/>
                <pt idx="0">
                  <v>40</v>
                </pt>
                <pt idx="1">
                  <v>28.9502062646344</v>
                </pt>
                <pt idx="2">
                  <v>25</v>
                </pt>
                <pt idx="3">
                  <v>20.96020626463439</v>
                </pt>
                <pt idx="4">
                  <v>13.17020626463443</v>
                </pt>
                <pt idx="5">
                  <v>0</v>
                </pt>
              </numCache>
            </numRef>
          </cat>
          <val>
            <numRef>
              <f>[2]Input!$H$34:$H$39</f>
              <numCache>
                <formatCode>General</formatCode>
                <ptCount val="6"/>
                <pt idx="1">
                  <v>378.7233766656398</v>
                </pt>
                <pt idx="2">
                  <v>371.1370081709168</v>
                </pt>
                <pt idx="3">
                  <v>364.2586739626235</v>
                </pt>
                <pt idx="4">
                  <v>352.9900621457107</v>
                </pt>
                <pt idx="5">
                  <v>337.916220290873</v>
                </pt>
              </numCache>
            </numRef>
          </val>
          <smooth val="1"/>
        </ser>
        <ser>
          <idx val="2"/>
          <order val="2"/>
          <tx>
            <v>min vlue</v>
          </tx>
          <spPr>
            <a:ln w="12700" cap="rnd" cmpd="sng" algn="ctr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[2]Input!$I$34:$I$39</f>
              <numCache>
                <formatCode>General</formatCode>
                <ptCount val="6"/>
                <pt idx="0">
                  <v>40</v>
                </pt>
                <pt idx="1">
                  <v>28.9502062646344</v>
                </pt>
                <pt idx="2">
                  <v>25</v>
                </pt>
                <pt idx="3">
                  <v>20.96020626463439</v>
                </pt>
                <pt idx="4">
                  <v>13.17020626463443</v>
                </pt>
                <pt idx="5">
                  <v>0</v>
                </pt>
              </numCache>
            </numRef>
          </cat>
          <val>
            <numRef>
              <f>[2]Input!$L$34:$L$39</f>
              <numCache>
                <formatCode>General</formatCode>
                <ptCount val="6"/>
                <pt idx="1">
                  <v>340.8510389990758</v>
                </pt>
                <pt idx="2">
                  <v>334.0233073538251</v>
                </pt>
                <pt idx="3">
                  <v>327.8328065663612</v>
                </pt>
                <pt idx="4">
                  <v>317.6910559311397</v>
                </pt>
                <pt idx="5">
                  <v>304.1245982617856</v>
                </pt>
              </numCache>
            </numRef>
          </val>
          <smooth val="1"/>
        </ser>
        <ser>
          <idx val="3"/>
          <order val="3"/>
          <tx>
            <v>Slip Limits</v>
          </tx>
          <spPr>
            <a:ln w="3810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[2]Input!$Q$34:$Q$39</f>
              <numCache>
                <formatCode>General</formatCode>
                <ptCount val="6"/>
              </numCache>
            </numRef>
          </val>
          <smooth val="0"/>
        </ser>
        <ser>
          <idx val="4"/>
          <order val="4"/>
          <tx>
            <v>Slip Limits</v>
          </tx>
          <spPr>
            <a:ln w="12700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[2]Analysis!$D$119:$D$124</f>
              <numCache>
                <formatCode>General</formatCode>
                <ptCount val="6"/>
                <pt idx="0">
                  <v>249.2103135749188</v>
                </pt>
                <pt idx="1">
                  <v>249.2103135749188</v>
                </pt>
                <pt idx="2">
                  <v>249.2103135749188</v>
                </pt>
                <pt idx="3">
                  <v>249.2103135749188</v>
                </pt>
                <pt idx="4">
                  <v>249.2103135749188</v>
                </pt>
                <pt idx="5">
                  <v>249.2103135749188</v>
                </pt>
              </numCache>
            </numRef>
          </val>
          <smooth val="0"/>
        </ser>
        <ser>
          <idx val="5"/>
          <order val="5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[2]Analysis!$E$119:$E$124</f>
              <numCache>
                <formatCode>General</formatCode>
                <ptCount val="6"/>
                <pt idx="0">
                  <v>234.2103135749188</v>
                </pt>
                <pt idx="1">
                  <v>234.2103135749188</v>
                </pt>
                <pt idx="2">
                  <v>234.2103135749188</v>
                </pt>
                <pt idx="3">
                  <v>234.2103135749188</v>
                </pt>
                <pt idx="4">
                  <v>234.2103135749188</v>
                </pt>
                <pt idx="5">
                  <v>234.2103135749188</v>
                </pt>
              </numCache>
            </numRef>
          </val>
          <smooth val="0"/>
        </ser>
        <ser>
          <idx val="6"/>
          <order val="6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[2]Analysis!$F$119:$F$124</f>
              <numCache>
                <formatCode>General</formatCode>
                <ptCount val="6"/>
                <pt idx="0">
                  <v>219.2103135749188</v>
                </pt>
                <pt idx="1">
                  <v>219.2103135749188</v>
                </pt>
                <pt idx="2">
                  <v>219.2103135749188</v>
                </pt>
                <pt idx="3">
                  <v>219.2103135749188</v>
                </pt>
                <pt idx="4">
                  <v>219.2103135749188</v>
                </pt>
                <pt idx="5">
                  <v>219.2103135749188</v>
                </pt>
              </numCache>
            </numRef>
          </val>
          <smooth val="0"/>
        </ser>
        <ser>
          <idx val="7"/>
          <order val="7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[2]Analysis!$G$119:$G$124</f>
              <numCache>
                <formatCode>General</formatCode>
                <ptCount val="6"/>
                <pt idx="0">
                  <v>204.2103135749188</v>
                </pt>
                <pt idx="1">
                  <v>204.2103135749188</v>
                </pt>
                <pt idx="2">
                  <v>204.2103135749188</v>
                </pt>
                <pt idx="3">
                  <v>204.2103135749188</v>
                </pt>
                <pt idx="4">
                  <v>204.2103135749188</v>
                </pt>
                <pt idx="5">
                  <v>204.2103135749188</v>
                </pt>
              </numCache>
            </numRef>
          </val>
          <smooth val="0"/>
        </ser>
        <ser>
          <idx val="8"/>
          <order val="8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[2]Analysis!$H$119:$H$124</f>
              <numCache>
                <formatCode>General</formatCode>
                <ptCount val="6"/>
                <pt idx="0">
                  <v>189.2103135749188</v>
                </pt>
                <pt idx="1">
                  <v>189.2103135749188</v>
                </pt>
                <pt idx="2">
                  <v>189.2103135749188</v>
                </pt>
                <pt idx="3">
                  <v>189.2103135749188</v>
                </pt>
                <pt idx="4">
                  <v>189.2103135749188</v>
                </pt>
                <pt idx="5">
                  <v>189.2103135749188</v>
                </pt>
              </numCache>
            </numRef>
          </val>
          <smooth val="0"/>
        </ser>
        <ser>
          <idx val="9"/>
          <order val="9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[2]Analysis!$I$119:$I$124</f>
              <numCache>
                <formatCode>General</formatCode>
                <ptCount val="6"/>
                <pt idx="0">
                  <v>174.2103135749188</v>
                </pt>
                <pt idx="1">
                  <v>174.2103135749188</v>
                </pt>
                <pt idx="2">
                  <v>174.2103135749188</v>
                </pt>
                <pt idx="3">
                  <v>174.2103135749188</v>
                </pt>
                <pt idx="4">
                  <v>174.2103135749188</v>
                </pt>
                <pt idx="5">
                  <v>174.2103135749188</v>
                </pt>
              </numCache>
            </numRef>
          </val>
          <smooth val="0"/>
        </ser>
        <ser>
          <idx val="10"/>
          <order val="10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[2]Analysis!$J$119:$J$124</f>
              <numCache>
                <formatCode>General</formatCode>
                <ptCount val="6"/>
                <pt idx="0">
                  <v>159.2103135749188</v>
                </pt>
                <pt idx="1">
                  <v>159.2103135749188</v>
                </pt>
                <pt idx="2">
                  <v>159.2103135749188</v>
                </pt>
                <pt idx="3">
                  <v>159.2103135749188</v>
                </pt>
                <pt idx="4">
                  <v>159.2103135749188</v>
                </pt>
                <pt idx="5">
                  <v>159.2103135749188</v>
                </pt>
              </numCache>
            </numRef>
          </val>
          <smooth val="0"/>
        </ser>
        <ser>
          <idx val="11"/>
          <order val="11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square"/>
            <size val="3"/>
            <spPr>
              <a:noFill/>
              <a:ln w="9525" cap="flat" cmpd="sng" algn="ctr">
                <a:noFill/>
                <a:prstDash val="solid"/>
                <a:round/>
              </a:ln>
            </spPr>
          </marker>
          <val>
            <numRef>
              <f>[2]Analysis!$K$119:$K$124</f>
              <numCache>
                <formatCode>General</formatCode>
                <ptCount val="6"/>
                <pt idx="0">
                  <v>144.2103135749188</v>
                </pt>
                <pt idx="1">
                  <v>144.2103135749188</v>
                </pt>
                <pt idx="2">
                  <v>144.2103135749188</v>
                </pt>
                <pt idx="3">
                  <v>144.2103135749188</v>
                </pt>
                <pt idx="4">
                  <v>144.2103135749188</v>
                </pt>
                <pt idx="5">
                  <v>144.2103135749188</v>
                </pt>
              </numCache>
            </numRef>
          </val>
          <smooth val="0"/>
        </ser>
        <ser>
          <idx val="12"/>
          <order val="12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[2]Analysis!$L$119:$L$124</f>
              <numCache>
                <formatCode>General</formatCode>
                <ptCount val="6"/>
                <pt idx="0">
                  <v>129.2103135749188</v>
                </pt>
                <pt idx="1">
                  <v>129.2103135749188</v>
                </pt>
                <pt idx="2">
                  <v>129.2103135749188</v>
                </pt>
                <pt idx="3">
                  <v>129.2103135749188</v>
                </pt>
                <pt idx="4">
                  <v>129.2103135749188</v>
                </pt>
                <pt idx="5">
                  <v>129.2103135749188</v>
                </pt>
              </numCache>
            </numRef>
          </val>
          <smooth val="0"/>
        </ser>
        <ser>
          <idx val="13"/>
          <order val="13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[2]Analysis!$M$119:$M$124</f>
              <numCache>
                <formatCode>General</formatCode>
                <ptCount val="6"/>
                <pt idx="0">
                  <v>114.2103135749188</v>
                </pt>
                <pt idx="1">
                  <v>114.2103135749188</v>
                </pt>
                <pt idx="2">
                  <v>114.2103135749188</v>
                </pt>
                <pt idx="3">
                  <v>114.2103135749188</v>
                </pt>
                <pt idx="4">
                  <v>114.2103135749188</v>
                </pt>
                <pt idx="5">
                  <v>114.2103135749188</v>
                </pt>
              </numCache>
            </numRef>
          </val>
          <smooth val="0"/>
        </ser>
        <ser>
          <idx val="14"/>
          <order val="14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[2]Analysis!$N$119:$N$124</f>
              <numCache>
                <formatCode>General</formatCode>
                <ptCount val="6"/>
                <pt idx="0">
                  <v>99.21031357491876</v>
                </pt>
                <pt idx="1">
                  <v>99.21031357491876</v>
                </pt>
                <pt idx="2">
                  <v>99.21031357491876</v>
                </pt>
                <pt idx="3">
                  <v>99.21031357491876</v>
                </pt>
                <pt idx="4">
                  <v>99.21031357491876</v>
                </pt>
                <pt idx="5">
                  <v>99.21031357491876</v>
                </pt>
              </numCache>
            </numRef>
          </val>
          <smooth val="0"/>
        </ser>
        <ser>
          <idx val="15"/>
          <order val="15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[2]Analysis!$O$119:$O$124</f>
              <numCache>
                <formatCode>General</formatCode>
                <ptCount val="6"/>
                <pt idx="0">
                  <v>84.21031357491876</v>
                </pt>
                <pt idx="1">
                  <v>84.21031357491876</v>
                </pt>
                <pt idx="2">
                  <v>84.21031357491876</v>
                </pt>
                <pt idx="3">
                  <v>84.21031357491876</v>
                </pt>
                <pt idx="4">
                  <v>84.21031357491876</v>
                </pt>
                <pt idx="5">
                  <v>84.21031357491876</v>
                </pt>
              </numCache>
            </numRef>
          </val>
          <smooth val="0"/>
        </ser>
        <ser>
          <idx val="16"/>
          <order val="16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[2]Analysis!$P$119:$P$124</f>
              <numCache>
                <formatCode>General</formatCode>
                <ptCount val="6"/>
                <pt idx="0">
                  <v>69.21031357491876</v>
                </pt>
                <pt idx="1">
                  <v>69.21031357491876</v>
                </pt>
                <pt idx="2">
                  <v>69.21031357491876</v>
                </pt>
                <pt idx="3">
                  <v>69.21031357491876</v>
                </pt>
                <pt idx="4">
                  <v>69.21031357491876</v>
                </pt>
                <pt idx="5">
                  <v>69.21031357491876</v>
                </pt>
              </numCache>
            </numRef>
          </val>
          <smooth val="0"/>
        </ser>
        <ser>
          <idx val="17"/>
          <order val="17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[2]Analysis!$Q$119:$Q$124</f>
              <numCache>
                <formatCode>General</formatCode>
                <ptCount val="6"/>
                <pt idx="0">
                  <v>54.21031357491876</v>
                </pt>
                <pt idx="1">
                  <v>54.21031357491876</v>
                </pt>
                <pt idx="2">
                  <v>54.21031357491876</v>
                </pt>
                <pt idx="3">
                  <v>54.21031357491876</v>
                </pt>
                <pt idx="4">
                  <v>54.21031357491876</v>
                </pt>
                <pt idx="5">
                  <v>54.21031357491876</v>
                </pt>
              </numCache>
            </numRef>
          </val>
          <smooth val="0"/>
        </ser>
        <ser>
          <idx val="18"/>
          <order val="18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[2]Analysis!$R$119:$R$124</f>
              <numCache>
                <formatCode>General</formatCode>
                <ptCount val="6"/>
                <pt idx="0">
                  <v>39.21031357491876</v>
                </pt>
                <pt idx="1">
                  <v>39.21031357491876</v>
                </pt>
                <pt idx="2">
                  <v>39.21031357491876</v>
                </pt>
                <pt idx="3">
                  <v>39.21031357491876</v>
                </pt>
                <pt idx="4">
                  <v>39.21031357491876</v>
                </pt>
                <pt idx="5">
                  <v>39.21031357491876</v>
                </pt>
              </numCache>
            </numRef>
          </val>
          <smooth val="0"/>
        </ser>
        <ser>
          <idx val="19"/>
          <order val="19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[2]Analysis!$S$119:$S$124</f>
              <numCache>
                <formatCode>General</formatCode>
                <ptCount val="6"/>
                <pt idx="0">
                  <v>24.21031357491876</v>
                </pt>
                <pt idx="1">
                  <v>24.21031357491876</v>
                </pt>
                <pt idx="2">
                  <v>24.21031357491876</v>
                </pt>
                <pt idx="3">
                  <v>24.21031357491876</v>
                </pt>
                <pt idx="4">
                  <v>24.21031357491876</v>
                </pt>
                <pt idx="5">
                  <v>24.21031357491876</v>
                </pt>
              </numCache>
            </numRef>
          </val>
          <smooth val="0"/>
        </ser>
        <ser>
          <idx val="20"/>
          <order val="20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[2]Analysis!$T$119:$T$124</f>
              <numCache>
                <formatCode>General</formatCode>
                <ptCount val="6"/>
                <pt idx="0">
                  <v>9.210313574918757</v>
                </pt>
                <pt idx="1">
                  <v>9.210313574918757</v>
                </pt>
                <pt idx="2">
                  <v>9.210313574918757</v>
                </pt>
                <pt idx="3">
                  <v>9.210313574918757</v>
                </pt>
                <pt idx="4">
                  <v>9.210313574918757</v>
                </pt>
                <pt idx="5">
                  <v>9.210313574918757</v>
                </pt>
              </numCache>
            </numRef>
          </val>
          <smooth val="0"/>
        </ser>
        <ser>
          <idx val="21"/>
          <order val="21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[2]Analysis!$U$119:$U$124</f>
              <numCache>
                <formatCode>General</formatCode>
                <ptCount val="6"/>
                <pt idx="0">
                  <v>-5.789686425081243</v>
                </pt>
                <pt idx="1">
                  <v>-5.789686425081243</v>
                </pt>
                <pt idx="2">
                  <v>-5.789686425081243</v>
                </pt>
                <pt idx="3">
                  <v>-5.789686425081243</v>
                </pt>
                <pt idx="4">
                  <v>-5.789686425081243</v>
                </pt>
                <pt idx="5">
                  <v>-5.789686425081243</v>
                </pt>
              </numCache>
            </numRef>
          </val>
          <smooth val="0"/>
        </ser>
        <ser>
          <idx val="22"/>
          <order val="22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[2]Analysis!$V$119:$V$124</f>
              <numCache>
                <formatCode>General</formatCode>
                <ptCount val="6"/>
                <pt idx="0">
                  <v>-20.78968642508124</v>
                </pt>
                <pt idx="1">
                  <v>-20.78968642508124</v>
                </pt>
                <pt idx="2">
                  <v>-20.78968642508124</v>
                </pt>
                <pt idx="3">
                  <v>-20.78968642508124</v>
                </pt>
                <pt idx="4">
                  <v>-20.78968642508124</v>
                </pt>
                <pt idx="5">
                  <v>-20.78968642508124</v>
                </pt>
              </numCache>
            </numRef>
          </val>
          <smooth val="0"/>
        </ser>
        <ser>
          <idx val="23"/>
          <order val="23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[2]Analysis!$W$119:$W$124</f>
              <numCache>
                <formatCode>General</formatCode>
                <ptCount val="6"/>
                <pt idx="0">
                  <v>-35.78968642508124</v>
                </pt>
                <pt idx="1">
                  <v>-35.78968642508124</v>
                </pt>
                <pt idx="2">
                  <v>-35.78968642508124</v>
                </pt>
                <pt idx="3">
                  <v>-35.78968642508124</v>
                </pt>
                <pt idx="4">
                  <v>-35.78968642508124</v>
                </pt>
                <pt idx="5">
                  <v>-35.78968642508124</v>
                </pt>
              </numCache>
            </numRef>
          </val>
          <smooth val="0"/>
        </ser>
        <ser>
          <idx val="24"/>
          <order val="24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[2]Analysis!$X$119:$X$124</f>
              <numCache>
                <formatCode>General</formatCode>
                <ptCount val="6"/>
                <pt idx="0">
                  <v>-50.78968642508124</v>
                </pt>
                <pt idx="1">
                  <v>-50.78968642508124</v>
                </pt>
                <pt idx="2">
                  <v>-50.78968642508124</v>
                </pt>
                <pt idx="3">
                  <v>-50.78968642508124</v>
                </pt>
                <pt idx="4">
                  <v>-50.78968642508124</v>
                </pt>
                <pt idx="5">
                  <v>-50.78968642508124</v>
                </pt>
              </numCache>
            </numRef>
          </val>
          <smooth val="0"/>
        </ser>
        <ser>
          <idx val="25"/>
          <order val="25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[2]Analysis!$Y$119:$Y$124</f>
              <numCache>
                <formatCode>General</formatCode>
                <ptCount val="6"/>
                <pt idx="0">
                  <v>-65.78968642508124</v>
                </pt>
                <pt idx="1">
                  <v>-65.78968642508124</v>
                </pt>
                <pt idx="2">
                  <v>-65.78968642508124</v>
                </pt>
                <pt idx="3">
                  <v>-65.78968642508124</v>
                </pt>
                <pt idx="4">
                  <v>-65.78968642508124</v>
                </pt>
                <pt idx="5">
                  <v>-65.78968642508124</v>
                </pt>
              </numCache>
            </numRef>
          </val>
          <smooth val="0"/>
        </ser>
        <ser>
          <idx val="26"/>
          <order val="26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[2]Analysis!$Z$119:$Z$124</f>
              <numCache>
                <formatCode>General</formatCode>
                <ptCount val="6"/>
                <pt idx="0">
                  <v>-80.78968642508124</v>
                </pt>
                <pt idx="1">
                  <v>-80.78968642508124</v>
                </pt>
                <pt idx="2">
                  <v>-80.78968642508124</v>
                </pt>
                <pt idx="3">
                  <v>-80.78968642508124</v>
                </pt>
                <pt idx="4">
                  <v>-80.78968642508124</v>
                </pt>
                <pt idx="5">
                  <v>-80.78968642508124</v>
                </pt>
              </numCache>
            </numRef>
          </val>
          <smooth val="0"/>
        </ser>
        <ser>
          <idx val="27"/>
          <order val="27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[2]Analysis!$AA$119:$AA$124</f>
              <numCache>
                <formatCode>General</formatCode>
                <ptCount val="6"/>
                <pt idx="0">
                  <v>-95.78968642508124</v>
                </pt>
                <pt idx="1">
                  <v>-95.78968642508124</v>
                </pt>
                <pt idx="2">
                  <v>-95.78968642508124</v>
                </pt>
                <pt idx="3">
                  <v>-95.78968642508124</v>
                </pt>
                <pt idx="4">
                  <v>-95.78968642508124</v>
                </pt>
                <pt idx="5">
                  <v>-95.78968642508124</v>
                </pt>
              </numCache>
            </numRef>
          </val>
          <smooth val="0"/>
        </ser>
        <ser>
          <idx val="28"/>
          <order val="28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[2]Analysis!$AB$119:$AB$124</f>
              <numCache>
                <formatCode>General</formatCode>
                <ptCount val="6"/>
                <pt idx="0">
                  <v>-110.7896864250812</v>
                </pt>
                <pt idx="1">
                  <v>-110.7896864250812</v>
                </pt>
                <pt idx="2">
                  <v>-110.7896864250812</v>
                </pt>
                <pt idx="3">
                  <v>-110.7896864250812</v>
                </pt>
                <pt idx="4">
                  <v>-110.7896864250812</v>
                </pt>
                <pt idx="5">
                  <v>-110.7896864250812</v>
                </pt>
              </numCache>
            </numRef>
          </val>
          <smooth val="0"/>
        </ser>
        <ser>
          <idx val="29"/>
          <order val="29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[2]Analysis!$AC$119:$AC$124</f>
              <numCache>
                <formatCode>General</formatCode>
                <ptCount val="6"/>
                <pt idx="0">
                  <v>-125.7896864250812</v>
                </pt>
                <pt idx="1">
                  <v>-125.7896864250812</v>
                </pt>
                <pt idx="2">
                  <v>-125.7896864250812</v>
                </pt>
                <pt idx="3">
                  <v>-125.7896864250812</v>
                </pt>
                <pt idx="4">
                  <v>-125.7896864250812</v>
                </pt>
                <pt idx="5">
                  <v>-125.7896864250812</v>
                </pt>
              </numCache>
            </numRef>
          </val>
          <smooth val="0"/>
        </ser>
        <ser>
          <idx val="30"/>
          <order val="30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[2]Analysis!$AD$119:$AD$124</f>
              <numCache>
                <formatCode>General</formatCode>
                <ptCount val="6"/>
                <pt idx="0">
                  <v>-140.7896864250812</v>
                </pt>
                <pt idx="1">
                  <v>-140.7896864250812</v>
                </pt>
                <pt idx="2">
                  <v>-140.7896864250812</v>
                </pt>
                <pt idx="3">
                  <v>-140.7896864250812</v>
                </pt>
                <pt idx="4">
                  <v>-140.7896864250812</v>
                </pt>
                <pt idx="5">
                  <v>-140.7896864250812</v>
                </pt>
              </numCache>
            </numRef>
          </val>
          <smooth val="0"/>
        </ser>
        <ser>
          <idx val="31"/>
          <order val="31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[2]Analysis!$AE$119:$AE$124</f>
              <numCache>
                <formatCode>General</formatCode>
                <ptCount val="6"/>
                <pt idx="0">
                  <v>-155.7896864250812</v>
                </pt>
                <pt idx="1">
                  <v>-155.7896864250812</v>
                </pt>
                <pt idx="2">
                  <v>-155.7896864250812</v>
                </pt>
                <pt idx="3">
                  <v>-155.7896864250812</v>
                </pt>
                <pt idx="4">
                  <v>-155.7896864250812</v>
                </pt>
                <pt idx="5">
                  <v>-155.7896864250812</v>
                </pt>
              </numCache>
            </numRef>
          </val>
          <smooth val="0"/>
        </ser>
        <ser>
          <idx val="32"/>
          <order val="32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[2]Analysis!$AF$119:$AF$124</f>
              <numCache>
                <formatCode>General</formatCode>
                <ptCount val="6"/>
              </numCache>
            </numRef>
          </val>
          <smooth val="0"/>
        </ser>
        <ser>
          <idx val="33"/>
          <order val="33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[2]Analysis!$AS$119:$AS$124</f>
              <numCache>
                <formatCode>General</formatCode>
                <ptCount val="6"/>
              </numCache>
            </numRef>
          </val>
          <smooth val="0"/>
        </ser>
        <ser>
          <idx val="34"/>
          <order val="34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[2]Analysis!$AT$119:$AT$124</f>
              <numCache>
                <formatCode>General</formatCode>
                <ptCount val="6"/>
              </numCache>
            </numRef>
          </val>
          <smooth val="0"/>
        </ser>
        <ser>
          <idx val="35"/>
          <order val="35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[2]Analysis!$AU$119:$AU$124</f>
              <numCache>
                <formatCode>General</formatCode>
                <ptCount val="6"/>
              </numCache>
            </numRef>
          </val>
          <smooth val="0"/>
        </ser>
        <ser>
          <idx val="36"/>
          <order val="36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[2]Analysis!$AV$119:$AV$124</f>
              <numCache>
                <formatCode>General</formatCode>
                <ptCount val="6"/>
              </numCache>
            </numRef>
          </val>
          <smooth val="0"/>
        </ser>
        <ser>
          <idx val="37"/>
          <order val="37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[2]Analysis!$AW$119:$AW$124</f>
              <numCache>
                <formatCode>General</formatCode>
                <ptCount val="6"/>
              </numCache>
            </numRef>
          </val>
          <smooth val="0"/>
        </ser>
        <ser>
          <idx val="38"/>
          <order val="38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[2]Analysis!$AX$119:$AX$124</f>
              <numCache>
                <formatCode>General</formatCode>
                <ptCount val="6"/>
              </numCache>
            </numRef>
          </val>
          <smooth val="0"/>
        </ser>
        <ser>
          <idx val="39"/>
          <order val="39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[2]Analysis!$AY$119:$AY$124</f>
              <numCache>
                <formatCode>General</formatCode>
                <ptCount val="6"/>
              </numCache>
            </numRef>
          </val>
          <smooth val="0"/>
        </ser>
        <ser>
          <idx val="40"/>
          <order val="40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[2]Analysis!$AZ$119:$AZ$124</f>
              <numCache>
                <formatCode>General</formatCode>
                <ptCount val="6"/>
              </numCache>
            </numRef>
          </val>
          <smooth val="0"/>
        </ser>
        <ser>
          <idx val="41"/>
          <order val="41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[2]Analysis!$BA$119:$BA$124</f>
              <numCache>
                <formatCode>General</formatCode>
                <ptCount val="6"/>
              </numCache>
            </numRef>
          </val>
          <smooth val="0"/>
        </ser>
        <ser>
          <idx val="42"/>
          <order val="42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[2]Analysis!$BB$119:$BB$124</f>
              <numCache>
                <formatCode>General</formatCode>
                <ptCount val="6"/>
              </numCache>
            </numRef>
          </val>
          <smooth val="0"/>
        </ser>
        <ser>
          <idx val="43"/>
          <order val="43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[2]Analysis!$BC$119:$BC$124</f>
              <numCache>
                <formatCode>General</formatCode>
                <ptCount val="6"/>
              </numCache>
            </numRef>
          </val>
          <smooth val="0"/>
        </ser>
        <ser>
          <idx val="44"/>
          <order val="44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[2]Analysis!$BD$119:$BD$124</f>
              <numCache>
                <formatCode>General</formatCode>
                <ptCount val="6"/>
              </numCache>
            </numRef>
          </val>
          <smooth val="0"/>
        </ser>
        <ser>
          <idx val="45"/>
          <order val="45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[2]Analysis!$BE$119:$BE$124</f>
              <numCache>
                <formatCode>General</formatCode>
                <ptCount val="6"/>
              </numCache>
            </numRef>
          </val>
          <smooth val="0"/>
        </ser>
        <ser>
          <idx val="46"/>
          <order val="46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[2]Analysis!$BF$119:$BF$124</f>
              <numCache>
                <formatCode>General</formatCode>
                <ptCount val="6"/>
              </numCache>
            </numRef>
          </val>
          <smooth val="0"/>
        </ser>
        <ser>
          <idx val="47"/>
          <order val="47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[2]Analysis!$BG$119:$BG$124</f>
              <numCache>
                <formatCode>General</formatCode>
                <ptCount val="6"/>
              </numCache>
            </numRef>
          </val>
          <smooth val="0"/>
        </ser>
        <ser>
          <idx val="48"/>
          <order val="48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[2]Analysis!$BH$119:$BH$124</f>
              <numCache>
                <formatCode>General</formatCode>
                <ptCount val="6"/>
              </numCache>
            </numRef>
          </val>
          <smooth val="0"/>
        </ser>
        <ser>
          <idx val="49"/>
          <order val="49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[2]Analysis!$BI$119:$BI$124</f>
              <numCache>
                <formatCode>General</formatCode>
                <ptCount val="6"/>
              </numCache>
            </numRef>
          </val>
          <smooth val="0"/>
        </ser>
        <ser>
          <idx val="50"/>
          <order val="50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[2]Analysis!$BJ$119:$BJ$124</f>
              <numCache>
                <formatCode>General</formatCode>
                <ptCount val="6"/>
              </numCache>
            </numRef>
          </val>
          <smooth val="0"/>
        </ser>
        <ser>
          <idx val="51"/>
          <order val="51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[2]Analysis!$BK$119:$BK$124</f>
              <numCache>
                <formatCode>General</formatCode>
                <ptCount val="6"/>
              </numCache>
            </numRef>
          </val>
          <smooth val="0"/>
        </ser>
        <ser>
          <idx val="52"/>
          <order val="52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[2]Analysis!$BL$119:$BL$124</f>
              <numCache>
                <formatCode>General</formatCode>
                <ptCount val="6"/>
              </numCache>
            </numRef>
          </val>
          <smooth val="0"/>
        </ser>
        <ser>
          <idx val="53"/>
          <order val="53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[2]Analysis!$BM$119:$BM$124</f>
              <numCache>
                <formatCode>General</formatCode>
                <ptCount val="6"/>
              </numCache>
            </numRef>
          </val>
          <smooth val="0"/>
        </ser>
        <ser>
          <idx val="54"/>
          <order val="54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[2]Analysis!$BN$119:$BN$124</f>
              <numCache>
                <formatCode>General</formatCode>
                <ptCount val="6"/>
              </numCache>
            </numRef>
          </val>
          <smooth val="0"/>
        </ser>
        <ser>
          <idx val="55"/>
          <order val="55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[2]Analysis!$BO$119:$BO$124</f>
              <numCache>
                <formatCode>General</formatCode>
                <ptCount val="6"/>
              </numCache>
            </numRef>
          </val>
          <smooth val="0"/>
        </ser>
        <ser>
          <idx val="56"/>
          <order val="56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[2]Analysis!$BP$119:$BP$124</f>
              <numCache>
                <formatCode>General</formatCode>
                <ptCount val="6"/>
              </numCache>
            </numRef>
          </val>
          <smooth val="0"/>
        </ser>
        <ser>
          <idx val="57"/>
          <order val="57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[2]Analysis!$BQ$119:$BQ$124</f>
              <numCache>
                <formatCode>General</formatCode>
                <ptCount val="6"/>
              </numCache>
            </numRef>
          </val>
          <smooth val="0"/>
        </ser>
        <ser>
          <idx val="58"/>
          <order val="58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[2]Analysis!$BR$119:$BR$124</f>
              <numCache>
                <formatCode>General</formatCode>
                <ptCount val="6"/>
              </numCache>
            </numRef>
          </val>
          <smooth val="0"/>
        </ser>
        <ser>
          <idx val="59"/>
          <order val="59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[2]Analysis!$BS$119:$BS$124</f>
              <numCache>
                <formatCode>General</formatCode>
                <ptCount val="6"/>
              </numCache>
            </numRef>
          </val>
          <smooth val="0"/>
        </ser>
        <ser>
          <idx val="60"/>
          <order val="60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[2]Analysis!$BT$119:$BT$124</f>
              <numCache>
                <formatCode>General</formatCode>
                <ptCount val="6"/>
              </numCache>
            </numRef>
          </val>
          <smooth val="0"/>
        </ser>
        <ser>
          <idx val="61"/>
          <order val="61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[2]Analysis!$BU$119:$BU$124</f>
              <numCache>
                <formatCode>General</formatCode>
                <ptCount val="6"/>
              </numCache>
            </numRef>
          </val>
          <smooth val="0"/>
        </ser>
        <ser>
          <idx val="62"/>
          <order val="62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[2]Analysis!$BV$119:$BV$124</f>
              <numCache>
                <formatCode>General</formatCode>
                <ptCount val="6"/>
              </numCache>
            </numRef>
          </val>
          <smooth val="0"/>
        </ser>
        <ser>
          <idx val="63"/>
          <order val="63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[2]Analysis!$BW$119:$BW$124</f>
              <numCache>
                <formatCode>General</formatCode>
                <ptCount val="6"/>
              </numCache>
            </numRef>
          </val>
          <smooth val="0"/>
        </ser>
        <ser>
          <idx val="64"/>
          <order val="64"/>
          <spPr>
            <a:ln w="38100" cap="rnd" cmpd="sng" algn="ctr">
              <a:pattFill prst="pct75">
                <a:fgClr>
                  <a:srgbClr val="FF0000"/>
                </a:fgClr>
                <a:bgClr>
                  <a:srgbClr val="FFFFFF"/>
                </a:bgClr>
              </a:patt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[2]Analysis!$BX$119:$BX$124</f>
              <numCache>
                <formatCode>General</formatCode>
                <ptCount val="6"/>
              </numCache>
            </numRef>
          </val>
          <smooth val="0"/>
        </ser>
        <ser>
          <idx val="65"/>
          <order val="65"/>
          <spPr>
            <a:ln w="12700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[2]Analysis!$BY$119:$BY$124</f>
              <numCache>
                <formatCode>General</formatCode>
                <ptCount val="6"/>
              </numCache>
            </numRef>
          </val>
          <smooth val="0"/>
        </ser>
        <ser>
          <idx val="66"/>
          <order val="66"/>
          <spPr>
            <a:ln w="28575" cap="rnd" cmpd="dbl" algn="ctr">
              <a:noFill/>
              <a:prstDash val="sysDot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[2]Analysis!$BZ$119:$BZ$124</f>
              <numCache>
                <formatCode>General</formatCode>
                <ptCount val="6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dropLines>
          <spPr>
            <a:ln w="3175" cap="flat" cmpd="sng" algn="ctr">
              <a:solidFill>
                <a:srgbClr val="000000"/>
              </a:solidFill>
              <a:prstDash val="solid"/>
              <a:round/>
            </a:ln>
          </spPr>
        </dropLines>
        <smooth val="0"/>
        <axId val="100476800"/>
        <axId val="100491264"/>
      </lineChart>
      <catAx>
        <axId val="100476800"/>
        <scaling>
          <orientation val="maxMin"/>
        </scaling>
        <delete val="0"/>
        <axPos val="b"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975" b="0" i="0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/>
                  <a:t>Arm Travel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0815106445028"/>
              <y val="0.905739426014379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ctr" anchorCtr="1"/>
          <a:lstStyle/>
          <a:p>
            <a:pPr>
              <a:defRPr lang="zh-CN" sz="800" b="0" i="0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t>None</a:t>
            </a:r>
            <a:endParaRPr lang="zh-CN"/>
          </a:p>
        </txPr>
        <crossAx val="100491264"/>
        <crosses val="autoZero"/>
        <auto val="1"/>
        <lblAlgn val="ctr"/>
        <lblOffset val="100"/>
        <tickLblSkip val="1"/>
        <noMultiLvlLbl val="0"/>
      </catAx>
      <valAx>
        <axId val="100491264"/>
        <scaling>
          <orientation val="minMax"/>
          <min val="0"/>
        </scaling>
        <delete val="0"/>
        <axPos val="r"/>
        <majorGridlines>
          <spPr>
            <a:ln w="3175" cap="flat" cmpd="sng" algn="ctr">
              <a:solidFill>
                <a:srgbClr val="000000"/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0" i="0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/>
                  <a:t>Belt Tension [N]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41641878098571"/>
              <y val="0.33606643431866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in"/>
        <minorTickMark val="none"/>
        <tickLblPos val="high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ctr" anchorCtr="1"/>
          <a:lstStyle/>
          <a:p>
            <a:pPr>
              <a:defRPr lang="zh-CN" sz="800" b="0" i="0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t>None</a:t>
            </a:r>
            <a:endParaRPr lang="zh-CN"/>
          </a:p>
        </txPr>
        <crossAx val="100476800"/>
        <crosses val="autoZero"/>
        <crossBetween val="between"/>
      </valAx>
    </plotArea>
    <legend>
      <legendPos val="r"/>
      <legendEntry>
        <idx val="3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legendEntry>
        <idx val="10"/>
        <delete val="1"/>
      </legendEntry>
      <legendEntry>
        <idx val="11"/>
        <delete val="1"/>
      </legendEntry>
      <legendEntry>
        <idx val="12"/>
        <delete val="1"/>
      </legendEntry>
      <legendEntry>
        <idx val="13"/>
        <delete val="1"/>
      </legendEntry>
      <legendEntry>
        <idx val="18"/>
        <delete val="1"/>
      </legendEntry>
      <legendEntry>
        <idx val="21"/>
        <delete val="1"/>
      </legendEntry>
      <layout>
        <manualLayout>
          <xMode val="edge"/>
          <yMode val="edge"/>
          <wMode val="factor"/>
          <hMode val="factor"/>
          <x val="0.67629179331307"/>
          <y val="0.0513708513708514"/>
          <w val="0.31719496309162"/>
          <h val="0.1639695256670584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735" b="0" i="0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rgbClr val="FFFFFF"/>
    </a:solidFill>
    <a:ln w="3175" cap="flat" cmpd="sng" algn="ctr">
      <a:solidFill>
        <a:srgbClr val="000000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400" b="0" i="0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 altLang="en-US"/>
              <a:t>Accessory Data</a:t>
            </a:r>
          </a:p>
        </rich>
      </tx>
      <layout>
        <manualLayout>
          <xMode val="edge"/>
          <yMode val="edge"/>
          <wMode val="factor"/>
          <hMode val="factor"/>
          <x val="0.272402525771235"/>
          <y val="0.07331378299120241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96060484082693"/>
          <y val="0.451612903225812"/>
          <w val="0.878139274401029"/>
          <h val="0.407624633431085"/>
        </manualLayout>
      </layout>
      <lineChart>
        <grouping val="standard"/>
        <varyColors val="0"/>
        <ser>
          <idx val="5"/>
          <order val="0"/>
          <tx>
            <strRef>
              <f>[2]Analysis!$H$3</f>
              <strCache>
                <ptCount val="1"/>
                <pt idx="0">
                  <v>AC</v>
                </pt>
              </strCache>
            </strRef>
          </tx>
          <spPr>
            <a:ln w="12700" cap="rnd" cmpd="sng" algn="ctr">
              <a:solidFill>
                <a:srgbClr val="80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Lit>
              <ptCount val="12"/>
              <pt idx="0">
                <v>1</v>
              </pt>
              <pt idx="1">
                <v>2</v>
              </pt>
              <pt idx="2">
                <v>4</v>
              </pt>
              <pt idx="3">
                <v>5</v>
              </pt>
              <pt idx="4">
                <v>7</v>
              </pt>
              <pt idx="5">
                <v>8</v>
              </pt>
              <pt idx="6">
                <v>10</v>
              </pt>
              <pt idx="7">
                <v>11</v>
              </pt>
              <pt idx="8">
                <v>13</v>
              </pt>
              <pt idx="9">
                <v>14</v>
              </pt>
              <pt idx="10">
                <v>16</v>
              </pt>
              <pt idx="11">
                <v>17</v>
              </pt>
            </strLit>
          </cat>
          <val>
            <numRef>
              <f>([2]Analysis!$H$4:$H$5,[2]Analysis!$H$7:$H$8,[2]Analysis!$H$10:$H$11,[2]Analysis!$H$13:$H$14,[2]Analysis!$H$16:$H$17,[2]Analysis!$H$19:$H$20)</f>
              <numCache>
                <formatCode>General</formatCode>
                <ptCount val="12"/>
                <pt idx="0">
                  <v>10.9155</v>
                </pt>
                <pt idx="1">
                  <v>19.228</v>
                </pt>
                <pt idx="2">
                  <v>23.2085</v>
                </pt>
                <pt idx="3">
                  <v>33.706</v>
                </pt>
                <pt idx="4">
                  <v>50.483</v>
                </pt>
                <pt idx="5">
                  <v>50.483</v>
                </pt>
                <pt idx="6">
                  <v>50.483</v>
                </pt>
                <pt idx="7">
                  <v>50.483</v>
                </pt>
                <pt idx="8">
                  <v>50.483</v>
                </pt>
                <pt idx="9">
                  <v>50.483</v>
                </pt>
                <pt idx="10">
                  <v>50.483</v>
                </pt>
                <pt idx="11">
                  <v>50.483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0534528"/>
        <axId val="100540800"/>
      </lineChart>
      <catAx>
        <axId val="100534528"/>
        <scaling>
          <orientation val="minMax"/>
        </scaling>
        <delete val="0"/>
        <axPos val="b"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0" i="0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/>
                  <a:t>Engine Speed</a:t>
                </a:r>
                <a:r>
                  <a:rPr lang="en-US" altLang="en-US" baseline="0"/>
                  <a:t xml:space="preserve"> [rpm]</a:t>
                </a:r>
                <a:endParaRPr lang="en-US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354891399444635"/>
              <y val="0.932551319648099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0_);[Red]\(0\)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eaVert" wrap="square" anchor="ctr" anchorCtr="1"/>
          <a:lstStyle/>
          <a:p>
            <a:pPr>
              <a:defRPr lang="zh-CN" sz="800" b="0" i="0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t>None</a:t>
            </a:r>
            <a:endParaRPr lang="zh-CN"/>
          </a:p>
        </txPr>
        <crossAx val="100540800"/>
        <crosses val="autoZero"/>
        <auto val="1"/>
        <lblAlgn val="ctr"/>
        <lblOffset val="100"/>
        <noMultiLvlLbl val="0"/>
      </catAx>
      <valAx>
        <axId val="100540800"/>
        <scaling>
          <orientation val="minMax"/>
          <min val="0"/>
        </scaling>
        <delete val="0"/>
        <axPos val="l"/>
        <majorGridlines>
          <spPr>
            <a:ln w="3175" cap="flat" cmpd="sng" algn="ctr">
              <a:solidFill>
                <a:srgbClr val="000000"/>
              </a:solidFill>
              <a:prstDash val="sysDash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0" i="0" strike="noStrike" kern="1200" baseline="0">
                    <a:solidFill>
                      <a:srgbClr val="000000"/>
                    </a:solidFill>
                    <a:latin typeface="Times New Roman" panose="02020603050405020304" pitchFamily="12"/>
                    <a:ea typeface="Times New Roman" panose="02020603050405020304" pitchFamily="12"/>
                    <a:cs typeface="Times New Roman" panose="02020603050405020304" pitchFamily="12"/>
                  </a:defRPr>
                </a:pPr>
                <a:r>
                  <a:rPr lang="en-US" altLang="en-US"/>
                  <a:t>Accessory Power [kw]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50895811936551"/>
              <y val="0.0234604105571848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ctr" anchorCtr="1"/>
          <a:lstStyle/>
          <a:p>
            <a:pPr>
              <a:defRPr lang="zh-CN" sz="800" b="0" i="0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t>None</a:t>
            </a:r>
            <a:endParaRPr lang="zh-CN"/>
          </a:p>
        </txPr>
        <crossAx val="100534528"/>
        <crosses val="autoZero"/>
        <crossBetween val="between"/>
        <minorUnit val="0.04"/>
      </valAx>
    </plotArea>
    <legend>
      <legendPos val="r"/>
      <layout>
        <manualLayout>
          <xMode val="edge"/>
          <yMode val="edge"/>
          <wMode val="factor"/>
          <hMode val="factor"/>
          <x val="0.1915343736705989"/>
          <y val="0.2119208544024782"/>
          <w val="0.634057971014498"/>
          <h val="0.15542521994135"/>
        </manualLayout>
      </layout>
      <overlay val="1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735" b="0" i="0" strike="noStrike" kern="1200" baseline="0">
              <a:solidFill>
                <a:srgbClr val="000000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rgbClr val="FFFFFF"/>
    </a:solidFill>
    <a:ln w="3175" cap="flat" cmpd="sng" algn="ctr">
      <a:solidFill>
        <a:srgbClr val="000000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en-US" altLang="en-US" sz="1000"/>
              <a:t>Pulley M</a:t>
            </a:r>
            <a:r>
              <a:rPr lang="en-US" altLang="zh-CN" sz="1000"/>
              <a:t xml:space="preserve">ean </a:t>
            </a:r>
            <a:r>
              <a:rPr lang="en-US" altLang="en-US" sz="1000"/>
              <a:t>Hubload</a:t>
            </a:r>
          </a:p>
        </rich>
      </tx>
      <layout>
        <manualLayout>
          <xMode val="edge"/>
          <yMode val="edge"/>
          <wMode val="factor"/>
          <hMode val="factor"/>
          <x val="0.3622001785255687"/>
          <y val="0.03723836028353715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389621485838834"/>
          <y val="0.1470137098641923"/>
          <w val="0.837466691237694"/>
          <h val="0.520835099402871"/>
        </manualLayout>
      </layout>
      <lineChart>
        <grouping val="standard"/>
        <varyColors val="0"/>
        <ser>
          <idx val="0"/>
          <order val="0"/>
          <tx>
            <strRef>
              <f>[2]Analysis!$U$3</f>
              <strCache>
                <ptCount val="1"/>
                <pt idx="0">
                  <v>CRK</v>
                </pt>
              </strCache>
            </strRef>
          </tx>
          <spPr>
            <a:ln w="12700" cap="rnd" cmpd="sng" algn="ctr">
              <a:solidFill>
                <a:srgbClr val="00008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([2]Analysis!$S$4:$S$5,[2]Analysis!$S$7:$S$8,[2]Analysis!$S$10:$S$11,[2]Analysis!$S$13:$S$14,[2]Analysis!$S$16:$S$17,[2]Analysis!$S$19)</f>
              <numCache>
                <formatCode>General</formatCode>
                <ptCount val="11"/>
                <pt idx="0">
                  <v>700</v>
                </pt>
                <pt idx="1">
                  <v>1100</v>
                </pt>
                <pt idx="2">
                  <v>1400</v>
                </pt>
                <pt idx="3">
                  <v>1900</v>
                </pt>
                <pt idx="4">
                  <v>2400</v>
                </pt>
                <pt idx="5">
                  <v>2400</v>
                </pt>
                <pt idx="6">
                  <v>2400</v>
                </pt>
                <pt idx="7">
                  <v>2400</v>
                </pt>
                <pt idx="8">
                  <v>2400</v>
                </pt>
                <pt idx="9">
                  <v>2400</v>
                </pt>
                <pt idx="10">
                  <v>2400</v>
                </pt>
              </numCache>
            </numRef>
          </cat>
          <val>
            <numRef>
              <f>([2]Analysis!$U$4:$U$5,[2]Analysis!$U$7:$U$8,[2]Analysis!$U$10:$U$11,[2]Analysis!$U$13:$U$14,[2]Analysis!$U$16:$U$17,[2]Analysis!$U$19)</f>
              <numCache>
                <formatCode>General</formatCode>
                <ptCount val="11"/>
                <pt idx="0">
                  <v>2179.871365002088</v>
                </pt>
                <pt idx="1">
                  <v>2362.576135184123</v>
                </pt>
                <pt idx="2">
                  <v>2275.144663091938</v>
                </pt>
                <pt idx="3">
                  <v>2387.771095909137</v>
                </pt>
                <pt idx="4">
                  <v>2707.254593985186</v>
                </pt>
                <pt idx="5">
                  <v>2707.254593985186</v>
                </pt>
                <pt idx="6">
                  <v>2707.254593985186</v>
                </pt>
                <pt idx="7">
                  <v>2707.254593985186</v>
                </pt>
                <pt idx="8">
                  <v>2707.254593985186</v>
                </pt>
                <pt idx="9">
                  <v>2707.254593985186</v>
                </pt>
                <pt idx="10">
                  <v>2707.254593985186</v>
                </pt>
              </numCache>
            </numRef>
          </val>
          <smooth val="1"/>
        </ser>
        <ser>
          <idx val="1"/>
          <order val="1"/>
          <tx>
            <strRef>
              <f>[2]Analysis!$V$3</f>
              <strCache>
                <ptCount val="1"/>
                <pt idx="0">
                  <v>ALT</v>
                </pt>
              </strCache>
            </strRef>
          </tx>
          <spPr>
            <a:ln w="12700" cap="rnd" cmpd="sng" algn="ctr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Lit>
              <ptCount val="11"/>
              <pt idx="0">
                <v>700</v>
              </pt>
              <pt idx="1">
                <v>1100</v>
              </pt>
              <pt idx="2">
                <v>1400</v>
              </pt>
              <pt idx="3">
                <v>1900</v>
              </pt>
              <pt idx="4">
                <v>2400</v>
              </pt>
              <pt idx="5">
                <v>2400</v>
              </pt>
              <pt idx="6">
                <v>2400</v>
              </pt>
              <pt idx="7">
                <v>2400</v>
              </pt>
              <pt idx="8">
                <v>2400</v>
              </pt>
              <pt idx="9">
                <v>2400</v>
              </pt>
              <pt idx="10">
                <v>2400</v>
              </pt>
            </strLit>
          </cat>
          <val>
            <numRef>
              <f>([2]Analysis!$V$4:$V$5,[2]Analysis!$V$7:$V$8,[2]Analysis!$V$10:$V$11,[2]Analysis!$V$13:$V$14,[2]Analysis!$V$16:$V$17,[2]Analysis!$V$19)</f>
              <numCache>
                <formatCode>General</formatCode>
                <ptCount val="11"/>
                <pt idx="0">
                  <v>2556.843493884488</v>
                </pt>
                <pt idx="1">
                  <v>2805.436864031366</v>
                </pt>
                <pt idx="2">
                  <v>2686.505503493471</v>
                </pt>
                <pt idx="3">
                  <v>2839.699638258349</v>
                </pt>
                <pt idx="4">
                  <v>3273.859503342899</v>
                </pt>
                <pt idx="5">
                  <v>3273.859503342899</v>
                </pt>
                <pt idx="6">
                  <v>3273.859503342899</v>
                </pt>
                <pt idx="7">
                  <v>3273.859503342899</v>
                </pt>
                <pt idx="8">
                  <v>3273.859503342899</v>
                </pt>
                <pt idx="9">
                  <v>3273.859503342899</v>
                </pt>
                <pt idx="10">
                  <v>3273.859503342899</v>
                </pt>
              </numCache>
            </numRef>
          </val>
          <smooth val="1"/>
        </ser>
        <ser>
          <idx val="2"/>
          <order val="2"/>
          <tx>
            <strRef>
              <f>[2]Analysis!$W$3</f>
              <strCache>
                <ptCount val="1"/>
                <pt idx="0">
                  <v>AC</v>
                </pt>
              </strCache>
            </strRef>
          </tx>
          <spPr>
            <a:ln w="12700" cap="rnd" cmpd="sng" algn="ctr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Lit>
              <ptCount val="11"/>
              <pt idx="0">
                <v>700</v>
              </pt>
              <pt idx="1">
                <v>1100</v>
              </pt>
              <pt idx="2">
                <v>1400</v>
              </pt>
              <pt idx="3">
                <v>1900</v>
              </pt>
              <pt idx="4">
                <v>2400</v>
              </pt>
              <pt idx="5">
                <v>2400</v>
              </pt>
              <pt idx="6">
                <v>2400</v>
              </pt>
              <pt idx="7">
                <v>2400</v>
              </pt>
              <pt idx="8">
                <v>2400</v>
              </pt>
              <pt idx="9">
                <v>2400</v>
              </pt>
              <pt idx="10">
                <v>2400</v>
              </pt>
            </strLit>
          </cat>
          <val>
            <numRef>
              <f>([2]Analysis!$W$4:$W$5,[2]Analysis!$W$7:$W$8,[2]Analysis!$W$10:$W$11,[2]Analysis!$W$13:$W$14,[2]Analysis!$W$16:$W$17,[2]Analysis!$W$19)</f>
              <numCache>
                <formatCode>General</formatCode>
                <ptCount val="11"/>
                <pt idx="0">
                  <v>2259.152593366324</v>
                </pt>
                <pt idx="1">
                  <v>2442.931511768914</v>
                </pt>
                <pt idx="2">
                  <v>2355.007762420061</v>
                </pt>
                <pt idx="3">
                  <v>2468.261576419695</v>
                </pt>
                <pt idx="4">
                  <v>2789.238399443961</v>
                </pt>
                <pt idx="5">
                  <v>2789.238399443961</v>
                </pt>
                <pt idx="6">
                  <v>2789.238399443961</v>
                </pt>
                <pt idx="7">
                  <v>2789.238399443961</v>
                </pt>
                <pt idx="8">
                  <v>2789.238399443961</v>
                </pt>
                <pt idx="9">
                  <v>2789.238399443961</v>
                </pt>
                <pt idx="10">
                  <v>2789.238399443961</v>
                </pt>
              </numCache>
            </numRef>
          </val>
          <smooth val="1"/>
        </ser>
        <ser>
          <idx val="3"/>
          <order val="3"/>
          <tx>
            <strRef>
              <f>[2]Analysis!$X$3</f>
              <strCache>
                <ptCount val="1"/>
                <pt idx="0">
                  <v>TEN</v>
                </pt>
              </strCache>
            </strRef>
          </tx>
          <spPr>
            <a:ln w="12700" cap="rnd" cmpd="sng" algn="ctr">
              <a:solidFill>
                <a:srgbClr val="00FF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Lit>
              <ptCount val="11"/>
              <pt idx="0">
                <v>700</v>
              </pt>
              <pt idx="1">
                <v>1100</v>
              </pt>
              <pt idx="2">
                <v>1400</v>
              </pt>
              <pt idx="3">
                <v>1900</v>
              </pt>
              <pt idx="4">
                <v>2400</v>
              </pt>
              <pt idx="5">
                <v>2400</v>
              </pt>
              <pt idx="6">
                <v>2400</v>
              </pt>
              <pt idx="7">
                <v>2400</v>
              </pt>
              <pt idx="8">
                <v>2400</v>
              </pt>
              <pt idx="9">
                <v>2400</v>
              </pt>
              <pt idx="10">
                <v>2400</v>
              </pt>
            </strLit>
          </cat>
          <val>
            <numRef>
              <f>([2]Analysis!$X$4:$X$5,[2]Analysis!$X$7:$X$8,[2]Analysis!$X$10:$X$11,[2]Analysis!$X$13:$X$14,[2]Analysis!$X$16:$X$17,[2]Analysis!$X$19)</f>
              <numCache>
                <formatCode>General</formatCode>
                <ptCount val="11"/>
                <pt idx="0">
                  <v>681.3122030155504</v>
                </pt>
                <pt idx="1">
                  <v>681.3122030155504</v>
                </pt>
                <pt idx="2">
                  <v>681.3122030155504</v>
                </pt>
                <pt idx="3">
                  <v>681.3122030155504</v>
                </pt>
                <pt idx="4">
                  <v>681.3122030155504</v>
                </pt>
                <pt idx="5">
                  <v>681.3122030155504</v>
                </pt>
                <pt idx="6">
                  <v>681.3122030155504</v>
                </pt>
                <pt idx="7">
                  <v>681.3122030155504</v>
                </pt>
                <pt idx="8">
                  <v>681.3122030155504</v>
                </pt>
                <pt idx="9">
                  <v>681.3122030155504</v>
                </pt>
                <pt idx="10">
                  <v>681.3122030155504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5961216"/>
        <axId val="115975680"/>
      </lineChart>
      <catAx>
        <axId val="115961216"/>
        <scaling>
          <orientation val="minMax"/>
        </scaling>
        <delete val="0"/>
        <axPos val="b"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800" b="0" i="0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en-US" altLang="en-US" sz="800"/>
                  <a:t>Engine RPM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704803339167016"/>
              <y val="0.736040127137480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ctr" anchorCtr="1"/>
          <a:lstStyle/>
          <a:p>
            <a:pPr>
              <a:defRPr lang="zh-CN" sz="800" b="0" i="0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t>None</a:t>
            </a:r>
            <a:endParaRPr lang="zh-CN"/>
          </a:p>
        </txPr>
        <crossAx val="115975680"/>
        <crosses val="autoZero"/>
        <auto val="1"/>
        <lblAlgn val="ctr"/>
        <lblOffset val="100"/>
        <tickLblSkip val="1"/>
        <noMultiLvlLbl val="0"/>
      </catAx>
      <valAx>
        <axId val="115975680"/>
        <scaling>
          <orientation val="minMax"/>
        </scaling>
        <delete val="0"/>
        <axPos val="l"/>
        <majorGridlines>
          <spPr>
            <a:ln w="3175" cap="flat" cmpd="sng" algn="ctr">
              <a:solidFill>
                <a:srgbClr val="000000"/>
              </a:solidFill>
              <a:prstDash val="solid"/>
              <a:round/>
            </a:ln>
          </spPr>
        </majorGridlines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800" b="0" i="0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lang="en-US" altLang="en-US" sz="800"/>
                  <a:t>Hubload(N)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602618761051083"/>
              <y val="0.05593556249928812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in"/>
        <minorTickMark val="none"/>
        <tickLblPos val="nextTo"/>
        <spPr>
          <a:ln w="3175" cap="flat" cmpd="sng" algn="ctr">
            <a:solidFill>
              <a:srgbClr val="000000"/>
            </a:solidFill>
            <a:prstDash val="solid"/>
            <a:round/>
          </a:ln>
        </spPr>
        <txPr>
          <a:bodyPr rot="0" spcFirstLastPara="0" vertOverflow="ellipsis" vert="horz" wrap="square" anchor="ctr" anchorCtr="1"/>
          <a:lstStyle/>
          <a:p>
            <a:pPr>
              <a:defRPr lang="zh-CN" sz="800" b="0" i="0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t>None</a:t>
            </a:r>
            <a:endParaRPr lang="zh-CN"/>
          </a:p>
        </txPr>
        <crossAx val="11596121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08774245066443302"/>
          <y val="0.819536271721839"/>
          <w val="0.8561928191955231"/>
          <h val="0.1439881239392984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rgbClr val="FFFFFF"/>
    </a:solidFill>
    <a:ln w="3175" cap="flat" cmpd="sng" algn="ctr">
      <a:solidFill>
        <a:srgbClr val="000000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00563746802906"/>
          <y val="0.03245181007251146"/>
          <w val="0.8535908229627404"/>
          <h val="0.8671021063795464"/>
        </manualLayout>
      </layout>
      <scatterChart>
        <scatterStyle val="smoothMarker"/>
        <varyColors val="0"/>
        <ser>
          <idx val="4"/>
          <order val="0"/>
          <tx>
            <strRef>
              <f>[2]抖动计算!$C$19</f>
              <strCache>
                <ptCount val="1"/>
                <pt idx="0">
                  <v>CRK</v>
                </pt>
              </strCache>
            </strRef>
          </tx>
          <spPr>
            <a:ln w="9525" cap="rnd">
              <a:solidFill>
                <a:schemeClr val="tx2">
                  <a:lumMod val="60000"/>
                  <a:lumOff val="40000"/>
                </a:schemeClr>
              </a:solidFill>
              <a:prstDash val="solid"/>
              <a:round/>
              <a:tail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[2]抖动计算!$C$21:$C$57</f>
              <numCache>
                <formatCode>General</formatCode>
                <ptCount val="37"/>
                <pt idx="0">
                  <v>98</v>
                </pt>
                <pt idx="1">
                  <v>96.51115979519639</v>
                </pt>
                <pt idx="2">
                  <v>92.08987683701902</v>
                </pt>
                <pt idx="3">
                  <v>84.87048957087499</v>
                </pt>
                <pt idx="4">
                  <v>75.07235542565985</v>
                </pt>
                <pt idx="5">
                  <v>62.99318574928085</v>
                </pt>
                <pt idx="6">
                  <v>49.00000000000001</v>
                </pt>
                <pt idx="7">
                  <v>33.51797404591554</v>
                </pt>
                <pt idx="8">
                  <v>17.01752141135918</v>
                </pt>
                <pt idx="9">
                  <v>6.003227429052238e-15</v>
                </pt>
                <pt idx="10">
                  <v>-17.01752141135917</v>
                </pt>
                <pt idx="11">
                  <v>-33.51797404591554</v>
                </pt>
                <pt idx="12">
                  <v>-48.99999999999998</v>
                </pt>
                <pt idx="13">
                  <v>-62.99318574928085</v>
                </pt>
                <pt idx="14">
                  <v>-75.07235542565984</v>
                </pt>
                <pt idx="15">
                  <v>-84.87048957087499</v>
                </pt>
                <pt idx="16">
                  <v>-92.08987683701902</v>
                </pt>
                <pt idx="17">
                  <v>-96.51115979519639</v>
                </pt>
                <pt idx="18">
                  <v>-98</v>
                </pt>
                <pt idx="19">
                  <v>-96.51115979519639</v>
                </pt>
                <pt idx="20">
                  <v>-92.08987683701902</v>
                </pt>
                <pt idx="21">
                  <v>-84.87048957087498</v>
                </pt>
                <pt idx="22">
                  <v>-75.07235542565985</v>
                </pt>
                <pt idx="23">
                  <v>-62.99318574928087</v>
                </pt>
                <pt idx="24">
                  <v>-49.00000000000004</v>
                </pt>
                <pt idx="25">
                  <v>-33.5179740459156</v>
                </pt>
                <pt idx="26">
                  <v>-17.01752141135917</v>
                </pt>
                <pt idx="27">
                  <v>-1.800968228715671e-14</v>
                </pt>
                <pt idx="28">
                  <v>17.01752141135914</v>
                </pt>
                <pt idx="29">
                  <v>33.51797404591556</v>
                </pt>
                <pt idx="30">
                  <v>49.00000000000001</v>
                </pt>
                <pt idx="31">
                  <v>62.99318574928085</v>
                </pt>
                <pt idx="32">
                  <v>75.07235542565982</v>
                </pt>
                <pt idx="33">
                  <v>84.87048957087497</v>
                </pt>
                <pt idx="34">
                  <v>92.08987683701899</v>
                </pt>
                <pt idx="35">
                  <v>96.51115979519639</v>
                </pt>
                <pt idx="36">
                  <v>98</v>
                </pt>
              </numCache>
            </numRef>
          </xVal>
          <yVal>
            <numRef>
              <f>[2]抖动计算!$D$21:$D$57</f>
              <numCache>
                <formatCode>General</formatCode>
                <ptCount val="37"/>
                <pt idx="0">
                  <v>0</v>
                </pt>
                <pt idx="1">
                  <v>17.01752141135917</v>
                </pt>
                <pt idx="2">
                  <v>33.51797404591554</v>
                </pt>
                <pt idx="3">
                  <v>48.99999999999999</v>
                </pt>
                <pt idx="4">
                  <v>62.99318574928085</v>
                </pt>
                <pt idx="5">
                  <v>75.07235542565985</v>
                </pt>
                <pt idx="6">
                  <v>84.87048957087498</v>
                </pt>
                <pt idx="7">
                  <v>92.08987683701902</v>
                </pt>
                <pt idx="8">
                  <v>96.51115979519639</v>
                </pt>
                <pt idx="9">
                  <v>98</v>
                </pt>
                <pt idx="10">
                  <v>96.51115979519639</v>
                </pt>
                <pt idx="11">
                  <v>92.08987683701902</v>
                </pt>
                <pt idx="12">
                  <v>84.87048957087499</v>
                </pt>
                <pt idx="13">
                  <v>75.07235542565985</v>
                </pt>
                <pt idx="14">
                  <v>62.99318574928087</v>
                </pt>
                <pt idx="15">
                  <v>48.99999999999999</v>
                </pt>
                <pt idx="16">
                  <v>33.51797404591555</v>
                </pt>
                <pt idx="17">
                  <v>17.01752141135921</v>
                </pt>
                <pt idx="18">
                  <v>1.200645485810448e-14</v>
                </pt>
                <pt idx="19">
                  <v>-17.01752141135919</v>
                </pt>
                <pt idx="20">
                  <v>-33.51797404591553</v>
                </pt>
                <pt idx="21">
                  <v>-49.00000000000001</v>
                </pt>
                <pt idx="22">
                  <v>-62.99318574928085</v>
                </pt>
                <pt idx="23">
                  <v>-75.07235542565984</v>
                </pt>
                <pt idx="24">
                  <v>-84.87048957087497</v>
                </pt>
                <pt idx="25">
                  <v>-92.08987683701901</v>
                </pt>
                <pt idx="26">
                  <v>-96.51115979519639</v>
                </pt>
                <pt idx="27">
                  <v>-98</v>
                </pt>
                <pt idx="28">
                  <v>-96.51115979519639</v>
                </pt>
                <pt idx="29">
                  <v>-92.08987683701902</v>
                </pt>
                <pt idx="30">
                  <v>-84.87048957087498</v>
                </pt>
                <pt idx="31">
                  <v>-75.07235542565985</v>
                </pt>
                <pt idx="32">
                  <v>-62.99318574928088</v>
                </pt>
                <pt idx="33">
                  <v>-49.00000000000004</v>
                </pt>
                <pt idx="34">
                  <v>-33.51797404591561</v>
                </pt>
                <pt idx="35">
                  <v>-17.01752141135918</v>
                </pt>
                <pt idx="36">
                  <v>-2.401290971620895e-14</v>
                </pt>
              </numCache>
            </numRef>
          </yVal>
          <smooth val="1"/>
        </ser>
        <ser>
          <idx val="5"/>
          <order val="1"/>
          <tx>
            <strRef>
              <f>[2]抖动计算!$E$19</f>
              <strCache>
                <ptCount val="1"/>
                <pt idx="0">
                  <v>ALT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[2]抖动计算!$E$21:$E$57</f>
              <numCache>
                <formatCode>General</formatCode>
                <ptCount val="37"/>
                <pt idx="0">
                  <v>288.5</v>
                </pt>
                <pt idx="1">
                  <v>287.91509849097</v>
                </pt>
                <pt idx="2">
                  <v>286.1781659002575</v>
                </pt>
                <pt idx="3">
                  <v>283.3419780457009</v>
                </pt>
                <pt idx="4">
                  <v>279.4927110600806</v>
                </pt>
                <pt idx="5">
                  <v>274.7473229729318</v>
                </pt>
                <pt idx="6">
                  <v>269.25</v>
                </pt>
                <pt idx="7">
                  <v>263.1677755180382</v>
                </pt>
                <pt idx="8">
                  <v>256.6854548401768</v>
                </pt>
                <pt idx="9">
                  <v>250</v>
                </pt>
                <pt idx="10">
                  <v>243.3145451598232</v>
                </pt>
                <pt idx="11">
                  <v>236.8322244819618</v>
                </pt>
                <pt idx="12">
                  <v>230.75</v>
                </pt>
                <pt idx="13">
                  <v>225.2526770270682</v>
                </pt>
                <pt idx="14">
                  <v>220.5072889399194</v>
                </pt>
                <pt idx="15">
                  <v>216.6580219542991</v>
                </pt>
                <pt idx="16">
                  <v>213.8218340997425</v>
                </pt>
                <pt idx="17">
                  <v>212.08490150903</v>
                </pt>
                <pt idx="18">
                  <v>211.5</v>
                </pt>
                <pt idx="19">
                  <v>212.08490150903</v>
                </pt>
                <pt idx="20">
                  <v>213.8218340997425</v>
                </pt>
                <pt idx="21">
                  <v>216.6580219542991</v>
                </pt>
                <pt idx="22">
                  <v>220.5072889399193</v>
                </pt>
                <pt idx="23">
                  <v>225.2526770270682</v>
                </pt>
                <pt idx="24">
                  <v>230.75</v>
                </pt>
                <pt idx="25">
                  <v>236.8322244819617</v>
                </pt>
                <pt idx="26">
                  <v>243.3145451598232</v>
                </pt>
                <pt idx="27">
                  <v>250</v>
                </pt>
                <pt idx="28">
                  <v>256.6854548401768</v>
                </pt>
                <pt idx="29">
                  <v>263.1677755180382</v>
                </pt>
                <pt idx="30">
                  <v>269.25</v>
                </pt>
                <pt idx="31">
                  <v>274.7473229729318</v>
                </pt>
                <pt idx="32">
                  <v>279.4927110600806</v>
                </pt>
                <pt idx="33">
                  <v>283.3419780457009</v>
                </pt>
                <pt idx="34">
                  <v>286.1781659002575</v>
                </pt>
                <pt idx="35">
                  <v>287.91509849097</v>
                </pt>
                <pt idx="36">
                  <v>288.5</v>
                </pt>
              </numCache>
            </numRef>
          </xVal>
          <yVal>
            <numRef>
              <f>[2]抖动计算!$F$21:$F$57</f>
              <numCache>
                <formatCode>General</formatCode>
                <ptCount val="37"/>
                <pt idx="0">
                  <v>-80</v>
                </pt>
                <pt idx="1">
                  <v>-73.31454515982318</v>
                </pt>
                <pt idx="2">
                  <v>-66.83222448196176</v>
                </pt>
                <pt idx="3">
                  <v>-60.75</v>
                </pt>
                <pt idx="4">
                  <v>-55.25267702706824</v>
                </pt>
                <pt idx="5">
                  <v>-50.50728893991935</v>
                </pt>
                <pt idx="6">
                  <v>-46.65802195429912</v>
                </pt>
                <pt idx="7">
                  <v>-43.82183409974253</v>
                </pt>
                <pt idx="8">
                  <v>-42.08490150902999</v>
                </pt>
                <pt idx="9">
                  <v>-41.5</v>
                </pt>
                <pt idx="10">
                  <v>-42.08490150902999</v>
                </pt>
                <pt idx="11">
                  <v>-43.82183409974252</v>
                </pt>
                <pt idx="12">
                  <v>-46.65802195429911</v>
                </pt>
                <pt idx="13">
                  <v>-50.50728893991935</v>
                </pt>
                <pt idx="14">
                  <v>-55.25267702706823</v>
                </pt>
                <pt idx="15">
                  <v>-60.75</v>
                </pt>
                <pt idx="16">
                  <v>-66.83222448196175</v>
                </pt>
                <pt idx="17">
                  <v>-73.31454515982317</v>
                </pt>
                <pt idx="18">
                  <v>-80</v>
                </pt>
                <pt idx="19">
                  <v>-86.68545484017682</v>
                </pt>
                <pt idx="20">
                  <v>-93.16777551803824</v>
                </pt>
                <pt idx="21">
                  <v>-99.25</v>
                </pt>
                <pt idx="22">
                  <v>-104.7473229729318</v>
                </pt>
                <pt idx="23">
                  <v>-109.4927110600807</v>
                </pt>
                <pt idx="24">
                  <v>-113.3419780457009</v>
                </pt>
                <pt idx="25">
                  <v>-116.1781659002575</v>
                </pt>
                <pt idx="26">
                  <v>-117.91509849097</v>
                </pt>
                <pt idx="27">
                  <v>-118.5</v>
                </pt>
                <pt idx="28">
                  <v>-117.91509849097</v>
                </pt>
                <pt idx="29">
                  <v>-116.1781659002575</v>
                </pt>
                <pt idx="30">
                  <v>-113.3419780457009</v>
                </pt>
                <pt idx="31">
                  <v>-109.4927110600807</v>
                </pt>
                <pt idx="32">
                  <v>-104.7473229729318</v>
                </pt>
                <pt idx="33">
                  <v>-99.25000000000001</v>
                </pt>
                <pt idx="34">
                  <v>-93.16777551803827</v>
                </pt>
                <pt idx="35">
                  <v>-86.68545484017682</v>
                </pt>
                <pt idx="36">
                  <v>-80.00000000000001</v>
                </pt>
              </numCache>
            </numRef>
          </yVal>
          <smooth val="1"/>
        </ser>
        <ser>
          <idx val="6"/>
          <order val="2"/>
          <tx>
            <strRef>
              <f>[2]抖动计算!$G$19</f>
              <strCache>
                <ptCount val="1"/>
                <pt idx="0">
                  <v>AC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[2]抖动计算!$G$21:$G$57</f>
              <numCache>
                <formatCode>General</formatCode>
                <ptCount val="37"/>
                <pt idx="0">
                  <v>324</v>
                </pt>
                <pt idx="1">
                  <v>323.1492341686836</v>
                </pt>
                <pt idx="2">
                  <v>320.6227867640109</v>
                </pt>
                <pt idx="3">
                  <v>316.4974226119286</v>
                </pt>
                <pt idx="4">
                  <v>310.8984888146628</v>
                </pt>
                <pt idx="5">
                  <v>303.9961061424462</v>
                </pt>
                <pt idx="6">
                  <v>296</v>
                </pt>
                <pt idx="7">
                  <v>287.1531280262375</v>
                </pt>
                <pt idx="8">
                  <v>277.7242979493481</v>
                </pt>
                <pt idx="9">
                  <v>268</v>
                </pt>
                <pt idx="10">
                  <v>258.2757020506519</v>
                </pt>
                <pt idx="11">
                  <v>248.8468719737625</v>
                </pt>
                <pt idx="12">
                  <v>240</v>
                </pt>
                <pt idx="13">
                  <v>232.0038938575538</v>
                </pt>
                <pt idx="14">
                  <v>225.1015111853372</v>
                </pt>
                <pt idx="15">
                  <v>219.5025773880714</v>
                </pt>
                <pt idx="16">
                  <v>215.3772132359891</v>
                </pt>
                <pt idx="17">
                  <v>212.8507658313164</v>
                </pt>
                <pt idx="18">
                  <v>212</v>
                </pt>
                <pt idx="19">
                  <v>212.8507658313164</v>
                </pt>
                <pt idx="20">
                  <v>215.3772132359891</v>
                </pt>
                <pt idx="21">
                  <v>219.5025773880714</v>
                </pt>
                <pt idx="22">
                  <v>225.1015111853372</v>
                </pt>
                <pt idx="23">
                  <v>232.0038938575538</v>
                </pt>
                <pt idx="24">
                  <v>240</v>
                </pt>
                <pt idx="25">
                  <v>248.8468719737625</v>
                </pt>
                <pt idx="26">
                  <v>258.2757020506519</v>
                </pt>
                <pt idx="27">
                  <v>268</v>
                </pt>
                <pt idx="28">
                  <v>277.7242979493481</v>
                </pt>
                <pt idx="29">
                  <v>287.1531280262375</v>
                </pt>
                <pt idx="30">
                  <v>296</v>
                </pt>
                <pt idx="31">
                  <v>303.9961061424462</v>
                </pt>
                <pt idx="32">
                  <v>310.8984888146628</v>
                </pt>
                <pt idx="33">
                  <v>316.4974226119285</v>
                </pt>
                <pt idx="34">
                  <v>320.6227867640109</v>
                </pt>
                <pt idx="35">
                  <v>323.1492341686836</v>
                </pt>
                <pt idx="36">
                  <v>324</v>
                </pt>
              </numCache>
            </numRef>
          </xVal>
          <yVal>
            <numRef>
              <f>[2]抖动计算!$H$21:$H$57</f>
              <numCache>
                <formatCode>General</formatCode>
                <ptCount val="37"/>
                <pt idx="0">
                  <v>132.5</v>
                </pt>
                <pt idx="1">
                  <v>142.2242979493481</v>
                </pt>
                <pt idx="2">
                  <v>151.6531280262375</v>
                </pt>
                <pt idx="3">
                  <v>160.5</v>
                </pt>
                <pt idx="4">
                  <v>168.4961061424462</v>
                </pt>
                <pt idx="5">
                  <v>175.3984888146628</v>
                </pt>
                <pt idx="6">
                  <v>180.9974226119286</v>
                </pt>
                <pt idx="7">
                  <v>185.1227867640109</v>
                </pt>
                <pt idx="8">
                  <v>187.6492341686836</v>
                </pt>
                <pt idx="9">
                  <v>188.5</v>
                </pt>
                <pt idx="10">
                  <v>187.6492341686836</v>
                </pt>
                <pt idx="11">
                  <v>185.1227867640109</v>
                </pt>
                <pt idx="12">
                  <v>180.9974226119286</v>
                </pt>
                <pt idx="13">
                  <v>175.3984888146628</v>
                </pt>
                <pt idx="14">
                  <v>168.4961061424462</v>
                </pt>
                <pt idx="15">
                  <v>160.5</v>
                </pt>
                <pt idx="16">
                  <v>151.6531280262375</v>
                </pt>
                <pt idx="17">
                  <v>142.2242979493481</v>
                </pt>
                <pt idx="18">
                  <v>132.5</v>
                </pt>
                <pt idx="19">
                  <v>122.7757020506519</v>
                </pt>
                <pt idx="20">
                  <v>113.3468719737625</v>
                </pt>
                <pt idx="21">
                  <v>104.5</v>
                </pt>
                <pt idx="22">
                  <v>96.50389385755381</v>
                </pt>
                <pt idx="23">
                  <v>89.60151118533724</v>
                </pt>
                <pt idx="24">
                  <v>84.00257738807144</v>
                </pt>
                <pt idx="25">
                  <v>79.87721323598913</v>
                </pt>
                <pt idx="26">
                  <v>77.35076583131635</v>
                </pt>
                <pt idx="27">
                  <v>76.5</v>
                </pt>
                <pt idx="28">
                  <v>77.35076583131635</v>
                </pt>
                <pt idx="29">
                  <v>79.87721323598913</v>
                </pt>
                <pt idx="30">
                  <v>84.00257738807144</v>
                </pt>
                <pt idx="31">
                  <v>89.60151118533722</v>
                </pt>
                <pt idx="32">
                  <v>96.50389385755378</v>
                </pt>
                <pt idx="33">
                  <v>104.5</v>
                </pt>
                <pt idx="34">
                  <v>113.3468719737625</v>
                </pt>
                <pt idx="35">
                  <v>122.7757020506519</v>
                </pt>
                <pt idx="36">
                  <v>132.5</v>
                </pt>
              </numCache>
            </numRef>
          </yVal>
          <smooth val="1"/>
        </ser>
        <ser>
          <idx val="7"/>
          <order val="3"/>
          <tx>
            <strRef>
              <f>[2]抖动计算!$I$19</f>
              <strCache>
                <ptCount val="1"/>
                <pt idx="0">
                  <v>TEN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[2]抖动计算!$I$21:$I$57</f>
              <numCache>
                <formatCode>General</formatCode>
                <ptCount val="37"/>
                <pt idx="0">
                  <v>207.5628176391335</v>
                </pt>
                <pt idx="1">
                  <v>207.0128582981755</v>
                </pt>
                <pt idx="2">
                  <v>205.3796905115834</v>
                </pt>
                <pt idx="3">
                  <v>202.7129372561302</v>
                </pt>
                <pt idx="4">
                  <v>199.0936264800405</v>
                </pt>
                <pt idx="5">
                  <v>194.6317291097863</v>
                </pt>
                <pt idx="6">
                  <v>189.4628176391335</v>
                </pt>
                <pt idx="7">
                  <v>183.7439468275228</v>
                </pt>
                <pt idx="8">
                  <v>177.6488816706764</v>
                </pt>
                <pt idx="9">
                  <v>171.3628176391335</v>
                </pt>
                <pt idx="10">
                  <v>165.0767536075907</v>
                </pt>
                <pt idx="11">
                  <v>158.9816884507443</v>
                </pt>
                <pt idx="12">
                  <v>153.2628176391335</v>
                </pt>
                <pt idx="13">
                  <v>148.0939061684808</v>
                </pt>
                <pt idx="14">
                  <v>143.6320087982265</v>
                </pt>
                <pt idx="15">
                  <v>140.0126980221368</v>
                </pt>
                <pt idx="16">
                  <v>137.3459447666837</v>
                </pt>
                <pt idx="17">
                  <v>135.7127769800916</v>
                </pt>
                <pt idx="18">
                  <v>135.1628176391336</v>
                </pt>
                <pt idx="19">
                  <v>135.7127769800916</v>
                </pt>
                <pt idx="20">
                  <v>137.3459447666837</v>
                </pt>
                <pt idx="21">
                  <v>140.0126980221369</v>
                </pt>
                <pt idx="22">
                  <v>143.6320087982265</v>
                </pt>
                <pt idx="23">
                  <v>148.0939061684808</v>
                </pt>
                <pt idx="24">
                  <v>153.2628176391335</v>
                </pt>
                <pt idx="25">
                  <v>158.9816884507443</v>
                </pt>
                <pt idx="26">
                  <v>165.0767536075907</v>
                </pt>
                <pt idx="27">
                  <v>171.3628176391335</v>
                </pt>
                <pt idx="28">
                  <v>177.6488816706764</v>
                </pt>
                <pt idx="29">
                  <v>183.7439468275228</v>
                </pt>
                <pt idx="30">
                  <v>189.4628176391335</v>
                </pt>
                <pt idx="31">
                  <v>194.6317291097862</v>
                </pt>
                <pt idx="32">
                  <v>199.0936264800405</v>
                </pt>
                <pt idx="33">
                  <v>202.7129372561302</v>
                </pt>
                <pt idx="34">
                  <v>205.3796905115834</v>
                </pt>
                <pt idx="35">
                  <v>207.0128582981755</v>
                </pt>
                <pt idx="36">
                  <v>207.5628176391335</v>
                </pt>
              </numCache>
            </numRef>
          </xVal>
          <yVal>
            <numRef>
              <f>[2]抖动计算!$J$21:$J$57</f>
              <numCache>
                <formatCode>General</formatCode>
                <ptCount val="37"/>
                <pt idx="0">
                  <v>16.40836191005949</v>
                </pt>
                <pt idx="1">
                  <v>22.69442594160237</v>
                </pt>
                <pt idx="2">
                  <v>28.7894910984487</v>
                </pt>
                <pt idx="3">
                  <v>34.50836191005949</v>
                </pt>
                <pt idx="4">
                  <v>39.67727338071221</v>
                </pt>
                <pt idx="5">
                  <v>44.1391707509665</v>
                </pt>
                <pt idx="6">
                  <v>47.75848152705617</v>
                </pt>
                <pt idx="7">
                  <v>50.42523478250937</v>
                </pt>
                <pt idx="8">
                  <v>52.05840256910142</v>
                </pt>
                <pt idx="9">
                  <v>52.60836191005949</v>
                </pt>
                <pt idx="10">
                  <v>52.05840256910142</v>
                </pt>
                <pt idx="11">
                  <v>50.42523478250938</v>
                </pt>
                <pt idx="12">
                  <v>47.75848152705618</v>
                </pt>
                <pt idx="13">
                  <v>44.1391707509665</v>
                </pt>
                <pt idx="14">
                  <v>39.67727338071222</v>
                </pt>
                <pt idx="15">
                  <v>34.50836191005949</v>
                </pt>
                <pt idx="16">
                  <v>28.78949109844871</v>
                </pt>
                <pt idx="17">
                  <v>22.69442594160238</v>
                </pt>
                <pt idx="18">
                  <v>16.40836191005949</v>
                </pt>
                <pt idx="19">
                  <v>10.12229787851661</v>
                </pt>
                <pt idx="20">
                  <v>4.027232721670284</v>
                </pt>
                <pt idx="21">
                  <v>-1.691638089940515</v>
                </pt>
                <pt idx="22">
                  <v>-6.860549560593231</v>
                </pt>
                <pt idx="23">
                  <v>-11.32244693084751</v>
                </pt>
                <pt idx="24">
                  <v>-14.94175770693718</v>
                </pt>
                <pt idx="25">
                  <v>-17.60851096239039</v>
                </pt>
                <pt idx="26">
                  <v>-19.24167874898244</v>
                </pt>
                <pt idx="27">
                  <v>-19.79163808994051</v>
                </pt>
                <pt idx="28">
                  <v>-19.24167874898244</v>
                </pt>
                <pt idx="29">
                  <v>-17.60851096239039</v>
                </pt>
                <pt idx="30">
                  <v>-14.94175770693719</v>
                </pt>
                <pt idx="31">
                  <v>-11.32244693084752</v>
                </pt>
                <pt idx="32">
                  <v>-6.860549560593245</v>
                </pt>
                <pt idx="33">
                  <v>-1.691638089940529</v>
                </pt>
                <pt idx="34">
                  <v>4.027232721670256</v>
                </pt>
                <pt idx="35">
                  <v>10.12229787851661</v>
                </pt>
                <pt idx="36">
                  <v>16.40836191005948</v>
                </pt>
              </numCache>
            </numRef>
          </yVal>
          <smooth val="1"/>
        </ser>
        <ser>
          <idx val="8"/>
          <order val="4"/>
          <tx>
            <strRef>
              <f>[2]抖动计算!$K$19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[2]抖动计算!$K$21:$K$57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[2]抖动计算!$L$21:$L$57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9"/>
          <order val="5"/>
          <tx>
            <strRef>
              <f>[2]抖动计算!$M$19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[2]抖动计算!$M$21:$M$57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[2]抖动计算!$N$21:$N$57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0"/>
          <order val="6"/>
          <tx>
            <strRef>
              <f>[2]抖动计算!$O$19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[2]抖动计算!$O$21:$O$57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[2]抖动计算!$P$21:$P$57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1"/>
          <order val="7"/>
          <tx>
            <strRef>
              <f>[2]抖动计算!$Q$19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[2]抖动计算!$Q$21:$Q$57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[2]抖动计算!$R$21:$R$57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2"/>
          <order val="8"/>
          <tx>
            <strRef>
              <f>[2]抖动计算!$S$19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[2]抖动计算!$S$21:$S$57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[2]抖动计算!$T$21:$T$57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3"/>
          <order val="9"/>
          <tx>
            <strRef>
              <f>[2]抖动计算!$U$19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[2]抖动计算!$U$21:$U$57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[2]抖动计算!$V$21:$V$57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4"/>
          <order val="10"/>
          <tx>
            <strRef>
              <f>[2]对齐度计算!$BK$1</f>
              <strCache>
                <ptCount val="1"/>
                <pt idx="0">
                  <v>张紧器头部</v>
                </pt>
              </strCache>
            </strRef>
          </tx>
          <spPr>
            <a:ln w="9525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[2]对齐度计算!$BK$4:$BK$40</f>
              <numCache>
                <formatCode>General</formatCode>
                <ptCount val="37"/>
                <pt idx="0">
                  <v>140</v>
                </pt>
                <pt idx="1">
                  <v>139.6961550602442</v>
                </pt>
                <pt idx="2">
                  <v>138.7938524157182</v>
                </pt>
                <pt idx="3">
                  <v>137.3205080756888</v>
                </pt>
                <pt idx="4">
                  <v>135.3208888623795</v>
                </pt>
                <pt idx="5">
                  <v>132.8557521937308</v>
                </pt>
                <pt idx="6">
                  <v>130</v>
                </pt>
                <pt idx="7">
                  <v>126.8404028665134</v>
                </pt>
                <pt idx="8">
                  <v>123.4729635533386</v>
                </pt>
                <pt idx="9">
                  <v>120</v>
                </pt>
                <pt idx="10">
                  <v>116.5270364466614</v>
                </pt>
                <pt idx="11">
                  <v>113.1595971334866</v>
                </pt>
                <pt idx="12">
                  <v>110</v>
                </pt>
                <pt idx="13">
                  <v>107.1442478062692</v>
                </pt>
                <pt idx="14">
                  <v>104.6791111376204</v>
                </pt>
                <pt idx="15">
                  <v>102.6794919243112</v>
                </pt>
                <pt idx="16">
                  <v>101.2061475842818</v>
                </pt>
                <pt idx="17">
                  <v>100.3038449397558</v>
                </pt>
                <pt idx="18">
                  <v>100</v>
                </pt>
                <pt idx="19">
                  <v>100.3038449397558</v>
                </pt>
                <pt idx="20">
                  <v>101.2061475842818</v>
                </pt>
                <pt idx="21">
                  <v>102.6794919243112</v>
                </pt>
                <pt idx="22">
                  <v>104.6791111376204</v>
                </pt>
                <pt idx="23">
                  <v>107.1442478062692</v>
                </pt>
                <pt idx="24">
                  <v>110</v>
                </pt>
                <pt idx="25">
                  <v>113.1595971334866</v>
                </pt>
                <pt idx="26">
                  <v>116.5270364466614</v>
                </pt>
                <pt idx="27">
                  <v>120</v>
                </pt>
                <pt idx="28">
                  <v>123.4729635533386</v>
                </pt>
                <pt idx="29">
                  <v>126.8404028665134</v>
                </pt>
                <pt idx="30">
                  <v>130</v>
                </pt>
                <pt idx="31">
                  <v>132.8557521937308</v>
                </pt>
                <pt idx="32">
                  <v>135.3208888623795</v>
                </pt>
                <pt idx="33">
                  <v>137.3205080756888</v>
                </pt>
                <pt idx="34">
                  <v>138.7938524157182</v>
                </pt>
                <pt idx="35">
                  <v>139.6961550602442</v>
                </pt>
                <pt idx="36">
                  <v>140</v>
                </pt>
              </numCache>
            </numRef>
          </xVal>
          <yVal>
            <numRef>
              <f>[2]对齐度计算!$BL$4:$BL$40</f>
              <numCache>
                <formatCode>General</formatCode>
                <ptCount val="37"/>
                <pt idx="0">
                  <v>20</v>
                </pt>
                <pt idx="1">
                  <v>23.47296355333861</v>
                </pt>
                <pt idx="2">
                  <v>26.84040286651337</v>
                </pt>
                <pt idx="3">
                  <v>30</v>
                </pt>
                <pt idx="4">
                  <v>32.85575219373079</v>
                </pt>
                <pt idx="5">
                  <v>35.32088886237956</v>
                </pt>
                <pt idx="6">
                  <v>37.32050807568877</v>
                </pt>
                <pt idx="7">
                  <v>38.79385241571816</v>
                </pt>
                <pt idx="8">
                  <v>39.69615506024416</v>
                </pt>
                <pt idx="9">
                  <v>40</v>
                </pt>
                <pt idx="10">
                  <v>39.69615506024416</v>
                </pt>
                <pt idx="11">
                  <v>38.79385241571817</v>
                </pt>
                <pt idx="12">
                  <v>37.32050807568878</v>
                </pt>
                <pt idx="13">
                  <v>35.32088886237956</v>
                </pt>
                <pt idx="14">
                  <v>32.85575219373079</v>
                </pt>
                <pt idx="15">
                  <v>30</v>
                </pt>
                <pt idx="16">
                  <v>26.84040286651338</v>
                </pt>
                <pt idx="17">
                  <v>23.47296355333862</v>
                </pt>
                <pt idx="18">
                  <v>20</v>
                </pt>
                <pt idx="19">
                  <v>16.52703644666139</v>
                </pt>
                <pt idx="20">
                  <v>13.15959713348663</v>
                </pt>
                <pt idx="21">
                  <v>9.999999999999998</v>
                </pt>
                <pt idx="22">
                  <v>7.144247806269215</v>
                </pt>
                <pt idx="23">
                  <v>4.679111137620442</v>
                </pt>
                <pt idx="24">
                  <v>2.679491924311233</v>
                </pt>
                <pt idx="25">
                  <v>1.206147584281837</v>
                </pt>
                <pt idx="26">
                  <v>0.3038449397558409</v>
                </pt>
                <pt idx="27">
                  <v>0</v>
                </pt>
                <pt idx="28">
                  <v>0.3038449397558374</v>
                </pt>
                <pt idx="29">
                  <v>1.206147584281833</v>
                </pt>
                <pt idx="30">
                  <v>2.679491924311229</v>
                </pt>
                <pt idx="31">
                  <v>4.679111137620438</v>
                </pt>
                <pt idx="32">
                  <v>7.144247806269208</v>
                </pt>
                <pt idx="33">
                  <v>9.999999999999991</v>
                </pt>
                <pt idx="34">
                  <v>13.15959713348661</v>
                </pt>
                <pt idx="35">
                  <v>16.52703644666139</v>
                </pt>
                <pt idx="36">
                  <v>20</v>
                </pt>
              </numCache>
            </numRef>
          </yVal>
          <smooth val="1"/>
        </ser>
        <ser>
          <idx val="15"/>
          <order val="11"/>
          <tx>
            <v>张紧器臂</v>
          </tx>
          <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dPt>
          <xVal>
            <numRef>
              <f>([2]抖动计算!$A$3,[2]抖动计算!$S$16)</f>
              <numCache>
                <formatCode>General</formatCode>
                <ptCount val="2"/>
                <pt idx="0">
                  <v>120</v>
                </pt>
                <pt idx="1">
                  <v>171.3628176391335</v>
                </pt>
              </numCache>
            </numRef>
          </xVal>
          <yVal>
            <numRef>
              <f>([2]抖动计算!$B$3,[2]抖动计算!$T$16)</f>
              <numCache>
                <formatCode>General</formatCode>
                <ptCount val="2"/>
                <pt idx="0">
                  <v>20</v>
                </pt>
                <pt idx="1">
                  <v>16.40836191005949</v>
                </pt>
              </numCache>
            </numRef>
          </yVal>
          <smooth val="1"/>
        </ser>
        <ser>
          <idx val="16"/>
          <order val="12"/>
          <tx>
            <strRef>
              <f>[2]抖动计算!$B$10</f>
              <strCache>
                <ptCount val="1"/>
                <pt idx="0">
                  <v>CRK-ALT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  <a:headEnd w="lg" len="lg"/>
              <a:tailEnd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  <a:tailEnd w="lg" len="lg"/>
              </a:ln>
            </spPr>
          </dPt>
          <xVal>
            <numRef>
              <f>([2]抖动计算!$K$61,[2]抖动计算!$I$62)</f>
              <numCache>
                <formatCode>General</formatCode>
                <ptCount val="2"/>
                <pt idx="0">
                  <v>-7.933082074016857</v>
                </pt>
                <pt idx="1">
                  <v>246.8834320423505</v>
                </pt>
              </numCache>
            </numRef>
          </xVal>
          <yVal>
            <numRef>
              <f>([2]抖动计算!$L$61,[2]抖动计算!$J$62)</f>
              <numCache>
                <formatCode>General</formatCode>
                <ptCount val="2"/>
                <pt idx="0">
                  <v>-97.67838148130278</v>
                </pt>
                <pt idx="1">
                  <v>-118.3736498676547</v>
                </pt>
              </numCache>
            </numRef>
          </yVal>
          <smooth val="1"/>
        </ser>
        <ser>
          <idx val="17"/>
          <order val="13"/>
          <tx>
            <strRef>
              <f>[2]抖动计算!$B$11</f>
              <strCache>
                <ptCount val="1"/>
                <pt idx="0">
                  <v>ALT-AC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([2]抖动计算!$K$62,[2]抖动计算!$I$63)</f>
              <numCache>
                <formatCode>General</formatCode>
                <ptCount val="2"/>
                <pt idx="0">
                  <v>287.9665850326021</v>
                </pt>
                <pt idx="1">
                  <v>323.2241236837849</v>
                </pt>
              </numCache>
            </numRef>
          </xVal>
          <yVal>
            <numRef>
              <f>([2]抖动计算!$L$62,[2]抖动计算!$J$63)</f>
              <numCache>
                <formatCode>General</formatCode>
                <ptCount val="2"/>
                <pt idx="0">
                  <v>-86.38658132040865</v>
                </pt>
                <pt idx="1">
                  <v>123.2104271703147</v>
                </pt>
              </numCache>
            </numRef>
          </yVal>
          <smooth val="1"/>
        </ser>
        <ser>
          <idx val="18"/>
          <order val="14"/>
          <tx>
            <strRef>
              <f>[2]抖动计算!$B$12</f>
              <strCache>
                <ptCount val="1"/>
                <pt idx="0">
                  <v>AC-TEN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([2]抖动计算!$K$63,[2]抖动计算!$I$64)</f>
              <numCache>
                <formatCode>General</formatCode>
                <ptCount val="2"/>
                <pt idx="0">
                  <v>212.0396662147891</v>
                </pt>
                <pt idx="1">
                  <v>207.5371762645735</v>
                </pt>
              </numCache>
            </numRef>
          </xVal>
          <yVal>
            <numRef>
              <f>([2]抖动计算!$L$63,[2]抖动计算!$J$64)</f>
              <numCache>
                <formatCode>General</formatCode>
                <ptCount val="2"/>
                <pt idx="0">
                  <v>134.6073781454169</v>
                </pt>
                <pt idx="1">
                  <v>15.04609246605786</v>
                </pt>
              </numCache>
            </numRef>
          </yVal>
          <smooth val="1"/>
        </ser>
        <ser>
          <idx val="19"/>
          <order val="15"/>
          <tx>
            <strRef>
              <f>[2]抖动计算!$B$13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([2]抖动计算!$K$64,[2]抖动计算!$I$65)</f>
              <numCache>
                <formatCode>General</formatCode>
                <ptCount val="2"/>
                <pt idx="0">
                  <v>145.4320120358283</v>
                </pt>
                <pt idx="1">
                  <v>145.4320120358283</v>
                </pt>
              </numCache>
            </numRef>
          </xVal>
          <yVal>
            <numRef>
              <f>([2]抖动计算!$L$64,[2]抖动计算!$J$65)</f>
              <numCache>
                <formatCode>General</formatCode>
                <ptCount val="2"/>
                <pt idx="0">
                  <v>-8.850959552790439</v>
                </pt>
                <pt idx="1">
                  <v>-8.850959552790439</v>
                </pt>
              </numCache>
            </numRef>
          </yVal>
          <smooth val="1"/>
        </ser>
        <ser>
          <idx val="20"/>
          <order val="16"/>
          <tx>
            <strRef>
              <f>[2]抖动计算!$B$14</f>
              <strCache>
                <ptCount val="1"/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  <a:headEnd type="triangle"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</a:ln>
            </spPr>
          </dPt>
          <xVal>
            <numRef>
              <f>([2]抖动计算!$K$65,[2]抖动计算!$I$66)</f>
              <numCache>
                <formatCode>General</formatCode>
                <ptCount val="2"/>
                <pt idx="0">
                  <v>145.4320120358283</v>
                </pt>
                <pt idx="1">
                  <v>145.4320120358283</v>
                </pt>
              </numCache>
            </numRef>
          </xVal>
          <yVal>
            <numRef>
              <f>([2]抖动计算!$L$65,[2]抖动计算!$J$66)</f>
              <numCache>
                <formatCode>General</formatCode>
                <ptCount val="2"/>
                <pt idx="0">
                  <v>-8.850959552790439</v>
                </pt>
                <pt idx="1">
                  <v>-8.850959552790439</v>
                </pt>
              </numCache>
            </numRef>
          </yVal>
          <smooth val="1"/>
        </ser>
        <ser>
          <idx val="21"/>
          <order val="17"/>
          <tx>
            <strRef>
              <f>[2]抖动计算!$B$15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type="triangle"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</a:ln>
            </spPr>
          </dPt>
          <xVal>
            <numRef>
              <f>([2]抖动计算!$K$66,[2]抖动计算!$I$67)</f>
              <numCache>
                <formatCode>General</formatCode>
                <ptCount val="2"/>
                <pt idx="0">
                  <v>145.4320120358283</v>
                </pt>
                <pt idx="1">
                  <v>145.4320120358283</v>
                </pt>
              </numCache>
            </numRef>
          </xVal>
          <yVal>
            <numRef>
              <f>([2]抖动计算!$L$66,[2]抖动计算!$J$67)</f>
              <numCache>
                <formatCode>General</formatCode>
                <ptCount val="2"/>
                <pt idx="0">
                  <v>-8.850959552790439</v>
                </pt>
                <pt idx="1">
                  <v>-8.850959552790439</v>
                </pt>
              </numCache>
            </numRef>
          </yVal>
          <smooth val="1"/>
        </ser>
        <ser>
          <idx val="22"/>
          <order val="18"/>
          <tx>
            <strRef>
              <f>[2]抖动计算!$B$16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([2]抖动计算!$K$67,[2]抖动计算!$I$68)</f>
              <numCache>
                <formatCode>General</formatCode>
                <ptCount val="2"/>
                <pt idx="0">
                  <v>145.4320120358283</v>
                </pt>
                <pt idx="1">
                  <v>145.4320120358283</v>
                </pt>
              </numCache>
            </numRef>
          </xVal>
          <yVal>
            <numRef>
              <f>([2]抖动计算!$L$67,[2]抖动计算!$J$68)</f>
              <numCache>
                <formatCode>General</formatCode>
                <ptCount val="2"/>
                <pt idx="0">
                  <v>-8.850959552790439</v>
                </pt>
                <pt idx="1">
                  <v>-8.850959552790439</v>
                </pt>
              </numCache>
            </numRef>
          </yVal>
          <smooth val="1"/>
        </ser>
        <ser>
          <idx val="23"/>
          <order val="19"/>
          <tx>
            <strRef>
              <f>[2]抖动计算!$B$17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([2]抖动计算!$K$68,[2]抖动计算!$I$69)</f>
              <numCache>
                <formatCode>General</formatCode>
                <ptCount val="2"/>
                <pt idx="0">
                  <v>145.4320120358283</v>
                </pt>
                <pt idx="1">
                  <v>145.4320120358283</v>
                </pt>
              </numCache>
            </numRef>
          </xVal>
          <yVal>
            <numRef>
              <f>([2]抖动计算!$L$68,[2]抖动计算!$J$69)</f>
              <numCache>
                <formatCode>General</formatCode>
                <ptCount val="2"/>
                <pt idx="0">
                  <v>-8.850959552790439</v>
                </pt>
                <pt idx="1">
                  <v>-8.850959552790439</v>
                </pt>
              </numCache>
            </numRef>
          </yVal>
          <smooth val="1"/>
        </ser>
        <ser>
          <idx val="24"/>
          <order val="20"/>
          <tx>
            <strRef>
              <f>[2]抖动计算!$B$18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([2]抖动计算!$K$69,[2]抖动计算!$I$70)</f>
              <numCache>
                <formatCode>General</formatCode>
                <ptCount val="2"/>
                <pt idx="0">
                  <v>145.4320120358283</v>
                </pt>
                <pt idx="1">
                  <v>145.4320120358283</v>
                </pt>
              </numCache>
            </numRef>
          </xVal>
          <yVal>
            <numRef>
              <f>([2]抖动计算!$L$69,[2]抖动计算!$J$70)</f>
              <numCache>
                <formatCode>General</formatCode>
                <ptCount val="2"/>
                <pt idx="0">
                  <v>-8.850959552790439</v>
                </pt>
                <pt idx="1">
                  <v>-8.850959552790439</v>
                </pt>
              </numCache>
            </numRef>
          </yVal>
          <smooth val="1"/>
        </ser>
        <ser>
          <idx val="25"/>
          <order val="21"/>
          <tx>
            <strRef>
              <f>[2]抖动计算!$B$19</f>
              <strCache>
                <ptCount val="1"/>
                <pt idx="0">
                  <v>TEN-CRK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([2]抖动计算!$K$70,[2]抖动计算!$I$61)</f>
              <numCache>
                <formatCode>General</formatCode>
                <ptCount val="2"/>
                <pt idx="0">
                  <v>145.4320120358283</v>
                </pt>
                <pt idx="1">
                  <v>70.19941848408612</v>
                </pt>
              </numCache>
            </numRef>
          </xVal>
          <yVal>
            <numRef>
              <f>([2]抖动计算!$L$70,[2]抖动计算!$J$61)</f>
              <numCache>
                <formatCode>General</formatCode>
                <ptCount val="2"/>
                <pt idx="0">
                  <v>-8.850959552790439</v>
                </pt>
                <pt idx="1">
                  <v>68.38158849058821</v>
                </pt>
              </numCache>
            </numRef>
          </yVal>
          <smooth val="1"/>
        </ser>
        <ser>
          <idx val="26"/>
          <order val="22"/>
          <tx>
            <strRef>
              <f>[2]抖动计算!$C$61</f>
              <strCache>
                <ptCount val="1"/>
                <pt idx="0">
                  <v>CRK</v>
                </pt>
              </strCache>
            </strRef>
          </tx>
          <spPr>
            <a:ln w="1905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800" b="0" i="0" strike="noStrike" kern="1200" baseline="0">
                      <a:solidFill>
                        <a:schemeClr val="accent1"/>
                      </a:solidFill>
                      <a:latin typeface="+mn-lt"/>
                      <a:ea typeface="+mj-ea"/>
                      <a:cs typeface="+mn-cs"/>
                    </a:defRPr>
                  </a:pPr>
                  <a:r>
                    <a:t>None</a:t>
                  </a:r>
                  <a:endParaRPr lang="zh-CN" altLang="en-US"/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j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[2]抖动计算!$D$61</f>
              <numCache>
                <formatCode>General</formatCode>
                <ptCount val="1"/>
                <pt idx="0">
                  <v>0</v>
                </pt>
              </numCache>
            </numRef>
          </xVal>
          <yVal>
            <numRef>
              <f>[2]抖动计算!$E$61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27"/>
          <order val="23"/>
          <tx>
            <strRef>
              <f>[2]抖动计算!$C$62</f>
              <strCache>
                <ptCount val="1"/>
                <pt idx="0">
                  <v>ALT</v>
                </pt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[2]抖动计算!$D$62</f>
              <numCache>
                <formatCode>General</formatCode>
                <ptCount val="1"/>
                <pt idx="0">
                  <v>250</v>
                </pt>
              </numCache>
            </numRef>
          </xVal>
          <yVal>
            <numRef>
              <f>[2]抖动计算!$E$62</f>
              <numCache>
                <formatCode>General</formatCode>
                <ptCount val="1"/>
                <pt idx="0">
                  <v>-80</v>
                </pt>
              </numCache>
            </numRef>
          </yVal>
          <smooth val="1"/>
        </ser>
        <ser>
          <idx val="28"/>
          <order val="24"/>
          <tx>
            <strRef>
              <f>[2]抖动计算!$C$63</f>
              <strCache>
                <ptCount val="1"/>
                <pt idx="0">
                  <v>AC</v>
                </pt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[2]抖动计算!$D$63</f>
              <numCache>
                <formatCode>General</formatCode>
                <ptCount val="1"/>
                <pt idx="0">
                  <v>268</v>
                </pt>
              </numCache>
            </numRef>
          </xVal>
          <yVal>
            <numRef>
              <f>[2]抖动计算!$E$63</f>
              <numCache>
                <formatCode>General</formatCode>
                <ptCount val="1"/>
                <pt idx="0">
                  <v>132.5</v>
                </pt>
              </numCache>
            </numRef>
          </yVal>
          <smooth val="1"/>
        </ser>
        <ser>
          <idx val="29"/>
          <order val="25"/>
          <tx>
            <strRef>
              <f>[2]抖动计算!$C$64</f>
              <strCache>
                <ptCount val="1"/>
                <pt idx="0">
                  <v>TEN</v>
                </pt>
              </strCache>
            </strRef>
          </tx>
          <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[2]抖动计算!$D$64</f>
              <numCache>
                <formatCode>General</formatCode>
                <ptCount val="1"/>
                <pt idx="0">
                  <v>171.3628176391335</v>
                </pt>
              </numCache>
            </numRef>
          </xVal>
          <yVal>
            <numRef>
              <f>[2]抖动计算!$E$64</f>
              <numCache>
                <formatCode>General</formatCode>
                <ptCount val="1"/>
                <pt idx="0">
                  <v>16.40836191005949</v>
                </pt>
              </numCache>
            </numRef>
          </yVal>
          <smooth val="1"/>
        </ser>
        <ser>
          <idx val="30"/>
          <order val="26"/>
          <tx>
            <strRef>
              <f>[2]抖动计算!$C$65</f>
              <strCache>
                <ptCount val="1"/>
              </strCache>
            </strRef>
          </tx>
          <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[2]抖动计算!$D$65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[2]抖动计算!$E$65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1"/>
          <order val="27"/>
          <tx>
            <strRef>
              <f>[2]抖动计算!$C$66</f>
              <strCache>
                <ptCount val="1"/>
              </strCache>
            </strRef>
          </tx>
          <spPr>
            <a:ln w="0" cap="sq">
              <a:solidFill>
                <a:schemeClr val="bg1">
                  <a:alpha val="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spPr>
                <a:noFill/>
                <a:ln>
                  <a:solidFill>
                    <a:schemeClr val="tx1">
                      <a:alpha val="0"/>
                      <a:lumMod val="50000"/>
                      <a:lumOff val="50000"/>
                    </a:schemeClr>
                  </a:solidFill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zh-CN"/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solidFill>
                <a:schemeClr val="bg1"/>
              </a:solidFill>
              <a:ln>
                <a:solidFill>
                  <a:schemeClr val="tx1">
                    <a:alpha val="0"/>
                    <a:lumMod val="50000"/>
                    <a:lumOff val="50000"/>
                  </a:schemeClr>
                </a:solidFill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[2]抖动计算!$D$66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[2]抖动计算!$E$66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0"/>
        </ser>
        <ser>
          <idx val="32"/>
          <order val="28"/>
          <tx>
            <strRef>
              <f>[2]抖动计算!$C$67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[2]抖动计算!$D$67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[2]抖动计算!$E$67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3"/>
          <order val="29"/>
          <tx>
            <strRef>
              <f>[2]抖动计算!$C$68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[2]抖动计算!$D$68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[2]抖动计算!$E$68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4"/>
          <order val="30"/>
          <tx>
            <strRef>
              <f>[2]抖动计算!$C$69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[2]抖动计算!$D$69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[2]抖动计算!$E$69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5"/>
          <order val="31"/>
          <tx>
            <strRef>
              <f>[2]抖动计算!$C$70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[2]抖动计算!$D$70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[2]抖动计算!$E$70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6"/>
          <order val="32"/>
          <tx>
            <v>短皮带前带段抖动</v>
          </tx>
          <spPr>
            <a:ln w="19050" cap="rnd">
              <a:solidFill>
                <a:schemeClr val="accent5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rgbClr val="FF0000"/>
                </a:solidFill>
                <a:prstDash val="dash"/>
                <a:round/>
              </a:ln>
            </spPr>
          </dPt>
          <xVal>
            <numRef>
              <f>([2]抖动计算!$P$4,[2]抖动计算!$G$12)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xVal>
          <yVal>
            <numRef>
              <f>([2]抖动计算!$Q$4,[2]抖动计算!$H$12)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yVal>
          <smooth val="1"/>
        </ser>
        <ser>
          <idx val="37"/>
          <order val="33"/>
          <tx>
            <v>短皮带后带段抖动</v>
          </tx>
          <spPr>
            <a:ln w="9525" cap="rnd">
              <a:solidFill>
                <a:schemeClr val="accent5">
                  <a:lumMod val="60000"/>
                </a:schemeClr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rgbClr val="FF0000"/>
                </a:solidFill>
                <a:prstDash val="dash"/>
                <a:round/>
              </a:ln>
            </spPr>
          </dPt>
          <xVal>
            <numRef>
              <f>([2]抖动计算!$P$4,[2]抖动计算!$N$12)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xVal>
          <yVal>
            <numRef>
              <f>([2]抖动计算!$Q$4,[2]抖动计算!$O$12)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9373440"/>
        <axId val="209399808"/>
      </scatterChart>
      <valAx>
        <axId val="209373440"/>
        <scaling>
          <orientation val="minMax"/>
          <max val="500"/>
          <min val="-30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zh-CN"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09399808"/>
        <crossesAt val="-1000"/>
        <crossBetween val="midCat"/>
      </valAx>
      <valAx>
        <axId val="209399808"/>
        <scaling>
          <orientation val="minMax"/>
          <max val="400"/>
          <min val="-2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zh-CN"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09373440"/>
        <crossesAt val="-500"/>
        <crossBetween val="midCat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070381520662623"/>
          <y val="0.02615384087344218"/>
          <w val="0.8535908229627404"/>
          <h val="0.8671021063795464"/>
        </manualLayout>
      </layout>
      <scatterChart>
        <scatterStyle val="smoothMarker"/>
        <varyColors val="0"/>
        <ser>
          <idx val="4"/>
          <order val="0"/>
          <tx>
            <strRef>
              <f>[2]抖动计算!$W$19</f>
              <strCache>
                <ptCount val="1"/>
                <pt idx="0">
                  <v>CRK</v>
                </pt>
              </strCache>
            </strRef>
          </tx>
          <spPr>
            <a:ln w="9525" cap="rnd">
              <a:solidFill>
                <a:schemeClr val="tx2">
                  <a:lumMod val="60000"/>
                  <a:lumOff val="40000"/>
                </a:schemeClr>
              </a:solidFill>
              <a:prstDash val="solid"/>
              <a:round/>
              <a:tail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[2]抖动计算!$W$21:$W$57</f>
              <numCache>
                <formatCode>General</formatCode>
                <ptCount val="37"/>
                <pt idx="0">
                  <v>98</v>
                </pt>
                <pt idx="1">
                  <v>96.51115979519639</v>
                </pt>
                <pt idx="2">
                  <v>92.08987683701902</v>
                </pt>
                <pt idx="3">
                  <v>84.87048957087499</v>
                </pt>
                <pt idx="4">
                  <v>75.07235542565985</v>
                </pt>
                <pt idx="5">
                  <v>62.99318574928085</v>
                </pt>
                <pt idx="6">
                  <v>49.00000000000001</v>
                </pt>
                <pt idx="7">
                  <v>33.51797404591554</v>
                </pt>
                <pt idx="8">
                  <v>17.01752141135918</v>
                </pt>
                <pt idx="9">
                  <v>6.003227429052238e-15</v>
                </pt>
                <pt idx="10">
                  <v>-17.01752141135917</v>
                </pt>
                <pt idx="11">
                  <v>-33.51797404591554</v>
                </pt>
                <pt idx="12">
                  <v>-48.99999999999998</v>
                </pt>
                <pt idx="13">
                  <v>-62.99318574928085</v>
                </pt>
                <pt idx="14">
                  <v>-75.07235542565984</v>
                </pt>
                <pt idx="15">
                  <v>-84.87048957087499</v>
                </pt>
                <pt idx="16">
                  <v>-92.08987683701902</v>
                </pt>
                <pt idx="17">
                  <v>-96.51115979519639</v>
                </pt>
                <pt idx="18">
                  <v>-98</v>
                </pt>
                <pt idx="19">
                  <v>-96.51115979519639</v>
                </pt>
                <pt idx="20">
                  <v>-92.08987683701902</v>
                </pt>
                <pt idx="21">
                  <v>-84.87048957087498</v>
                </pt>
                <pt idx="22">
                  <v>-75.07235542565985</v>
                </pt>
                <pt idx="23">
                  <v>-62.99318574928087</v>
                </pt>
                <pt idx="24">
                  <v>-49.00000000000004</v>
                </pt>
                <pt idx="25">
                  <v>-33.5179740459156</v>
                </pt>
                <pt idx="26">
                  <v>-17.01752141135917</v>
                </pt>
                <pt idx="27">
                  <v>-1.800968228715671e-14</v>
                </pt>
                <pt idx="28">
                  <v>17.01752141135914</v>
                </pt>
                <pt idx="29">
                  <v>33.51797404591556</v>
                </pt>
                <pt idx="30">
                  <v>49.00000000000001</v>
                </pt>
                <pt idx="31">
                  <v>62.99318574928085</v>
                </pt>
                <pt idx="32">
                  <v>75.07235542565982</v>
                </pt>
                <pt idx="33">
                  <v>84.87048957087497</v>
                </pt>
                <pt idx="34">
                  <v>92.08987683701899</v>
                </pt>
                <pt idx="35">
                  <v>96.51115979519639</v>
                </pt>
                <pt idx="36">
                  <v>98</v>
                </pt>
              </numCache>
            </numRef>
          </xVal>
          <yVal>
            <numRef>
              <f>[2]抖动计算!$X$21:$X$57</f>
              <numCache>
                <formatCode>General</formatCode>
                <ptCount val="37"/>
                <pt idx="0">
                  <v>0</v>
                </pt>
                <pt idx="1">
                  <v>17.01752141135917</v>
                </pt>
                <pt idx="2">
                  <v>33.51797404591554</v>
                </pt>
                <pt idx="3">
                  <v>48.99999999999999</v>
                </pt>
                <pt idx="4">
                  <v>62.99318574928085</v>
                </pt>
                <pt idx="5">
                  <v>75.07235542565985</v>
                </pt>
                <pt idx="6">
                  <v>84.87048957087498</v>
                </pt>
                <pt idx="7">
                  <v>92.08987683701902</v>
                </pt>
                <pt idx="8">
                  <v>96.51115979519639</v>
                </pt>
                <pt idx="9">
                  <v>98</v>
                </pt>
                <pt idx="10">
                  <v>96.51115979519639</v>
                </pt>
                <pt idx="11">
                  <v>92.08987683701902</v>
                </pt>
                <pt idx="12">
                  <v>84.87048957087499</v>
                </pt>
                <pt idx="13">
                  <v>75.07235542565985</v>
                </pt>
                <pt idx="14">
                  <v>62.99318574928087</v>
                </pt>
                <pt idx="15">
                  <v>48.99999999999999</v>
                </pt>
                <pt idx="16">
                  <v>33.51797404591555</v>
                </pt>
                <pt idx="17">
                  <v>17.01752141135921</v>
                </pt>
                <pt idx="18">
                  <v>1.200645485810448e-14</v>
                </pt>
                <pt idx="19">
                  <v>-17.01752141135919</v>
                </pt>
                <pt idx="20">
                  <v>-33.51797404591553</v>
                </pt>
                <pt idx="21">
                  <v>-49.00000000000001</v>
                </pt>
                <pt idx="22">
                  <v>-62.99318574928085</v>
                </pt>
                <pt idx="23">
                  <v>-75.07235542565984</v>
                </pt>
                <pt idx="24">
                  <v>-84.87048957087497</v>
                </pt>
                <pt idx="25">
                  <v>-92.08987683701901</v>
                </pt>
                <pt idx="26">
                  <v>-96.51115979519639</v>
                </pt>
                <pt idx="27">
                  <v>-98</v>
                </pt>
                <pt idx="28">
                  <v>-96.51115979519639</v>
                </pt>
                <pt idx="29">
                  <v>-92.08987683701902</v>
                </pt>
                <pt idx="30">
                  <v>-84.87048957087498</v>
                </pt>
                <pt idx="31">
                  <v>-75.07235542565985</v>
                </pt>
                <pt idx="32">
                  <v>-62.99318574928088</v>
                </pt>
                <pt idx="33">
                  <v>-49.00000000000004</v>
                </pt>
                <pt idx="34">
                  <v>-33.51797404591561</v>
                </pt>
                <pt idx="35">
                  <v>-17.01752141135918</v>
                </pt>
                <pt idx="36">
                  <v>-2.401290971620895e-14</v>
                </pt>
              </numCache>
            </numRef>
          </yVal>
          <smooth val="1"/>
        </ser>
        <ser>
          <idx val="5"/>
          <order val="1"/>
          <tx>
            <strRef>
              <f>[2]抖动计算!$Y$19</f>
              <strCache>
                <ptCount val="1"/>
                <pt idx="0">
                  <v>ALT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[2]抖动计算!$Y$21:$Y$57</f>
              <numCache>
                <formatCode>General</formatCode>
                <ptCount val="37"/>
                <pt idx="0">
                  <v>288.5</v>
                </pt>
                <pt idx="1">
                  <v>287.91509849097</v>
                </pt>
                <pt idx="2">
                  <v>286.1781659002575</v>
                </pt>
                <pt idx="3">
                  <v>283.3419780457009</v>
                </pt>
                <pt idx="4">
                  <v>279.4927110600806</v>
                </pt>
                <pt idx="5">
                  <v>274.7473229729318</v>
                </pt>
                <pt idx="6">
                  <v>269.25</v>
                </pt>
                <pt idx="7">
                  <v>263.1677755180382</v>
                </pt>
                <pt idx="8">
                  <v>256.6854548401768</v>
                </pt>
                <pt idx="9">
                  <v>250</v>
                </pt>
                <pt idx="10">
                  <v>243.3145451598232</v>
                </pt>
                <pt idx="11">
                  <v>236.8322244819618</v>
                </pt>
                <pt idx="12">
                  <v>230.75</v>
                </pt>
                <pt idx="13">
                  <v>225.2526770270682</v>
                </pt>
                <pt idx="14">
                  <v>220.5072889399194</v>
                </pt>
                <pt idx="15">
                  <v>216.6580219542991</v>
                </pt>
                <pt idx="16">
                  <v>213.8218340997425</v>
                </pt>
                <pt idx="17">
                  <v>212.08490150903</v>
                </pt>
                <pt idx="18">
                  <v>211.5</v>
                </pt>
                <pt idx="19">
                  <v>212.08490150903</v>
                </pt>
                <pt idx="20">
                  <v>213.8218340997425</v>
                </pt>
                <pt idx="21">
                  <v>216.6580219542991</v>
                </pt>
                <pt idx="22">
                  <v>220.5072889399193</v>
                </pt>
                <pt idx="23">
                  <v>225.2526770270682</v>
                </pt>
                <pt idx="24">
                  <v>230.75</v>
                </pt>
                <pt idx="25">
                  <v>236.8322244819617</v>
                </pt>
                <pt idx="26">
                  <v>243.3145451598232</v>
                </pt>
                <pt idx="27">
                  <v>250</v>
                </pt>
                <pt idx="28">
                  <v>256.6854548401768</v>
                </pt>
                <pt idx="29">
                  <v>263.1677755180382</v>
                </pt>
                <pt idx="30">
                  <v>269.25</v>
                </pt>
                <pt idx="31">
                  <v>274.7473229729318</v>
                </pt>
                <pt idx="32">
                  <v>279.4927110600806</v>
                </pt>
                <pt idx="33">
                  <v>283.3419780457009</v>
                </pt>
                <pt idx="34">
                  <v>286.1781659002575</v>
                </pt>
                <pt idx="35">
                  <v>287.91509849097</v>
                </pt>
                <pt idx="36">
                  <v>288.5</v>
                </pt>
              </numCache>
            </numRef>
          </xVal>
          <yVal>
            <numRef>
              <f>[2]抖动计算!$Z$21:$Z$57</f>
              <numCache>
                <formatCode>General</formatCode>
                <ptCount val="37"/>
                <pt idx="0">
                  <v>-80</v>
                </pt>
                <pt idx="1">
                  <v>-73.31454515982318</v>
                </pt>
                <pt idx="2">
                  <v>-66.83222448196176</v>
                </pt>
                <pt idx="3">
                  <v>-60.75</v>
                </pt>
                <pt idx="4">
                  <v>-55.25267702706824</v>
                </pt>
                <pt idx="5">
                  <v>-50.50728893991935</v>
                </pt>
                <pt idx="6">
                  <v>-46.65802195429912</v>
                </pt>
                <pt idx="7">
                  <v>-43.82183409974253</v>
                </pt>
                <pt idx="8">
                  <v>-42.08490150902999</v>
                </pt>
                <pt idx="9">
                  <v>-41.5</v>
                </pt>
                <pt idx="10">
                  <v>-42.08490150902999</v>
                </pt>
                <pt idx="11">
                  <v>-43.82183409974252</v>
                </pt>
                <pt idx="12">
                  <v>-46.65802195429911</v>
                </pt>
                <pt idx="13">
                  <v>-50.50728893991935</v>
                </pt>
                <pt idx="14">
                  <v>-55.25267702706823</v>
                </pt>
                <pt idx="15">
                  <v>-60.75</v>
                </pt>
                <pt idx="16">
                  <v>-66.83222448196175</v>
                </pt>
                <pt idx="17">
                  <v>-73.31454515982317</v>
                </pt>
                <pt idx="18">
                  <v>-80</v>
                </pt>
                <pt idx="19">
                  <v>-86.68545484017682</v>
                </pt>
                <pt idx="20">
                  <v>-93.16777551803824</v>
                </pt>
                <pt idx="21">
                  <v>-99.25</v>
                </pt>
                <pt idx="22">
                  <v>-104.7473229729318</v>
                </pt>
                <pt idx="23">
                  <v>-109.4927110600807</v>
                </pt>
                <pt idx="24">
                  <v>-113.3419780457009</v>
                </pt>
                <pt idx="25">
                  <v>-116.1781659002575</v>
                </pt>
                <pt idx="26">
                  <v>-117.91509849097</v>
                </pt>
                <pt idx="27">
                  <v>-118.5</v>
                </pt>
                <pt idx="28">
                  <v>-117.91509849097</v>
                </pt>
                <pt idx="29">
                  <v>-116.1781659002575</v>
                </pt>
                <pt idx="30">
                  <v>-113.3419780457009</v>
                </pt>
                <pt idx="31">
                  <v>-109.4927110600807</v>
                </pt>
                <pt idx="32">
                  <v>-104.7473229729318</v>
                </pt>
                <pt idx="33">
                  <v>-99.25000000000001</v>
                </pt>
                <pt idx="34">
                  <v>-93.16777551803827</v>
                </pt>
                <pt idx="35">
                  <v>-86.68545484017682</v>
                </pt>
                <pt idx="36">
                  <v>-80.00000000000001</v>
                </pt>
              </numCache>
            </numRef>
          </yVal>
          <smooth val="1"/>
        </ser>
        <ser>
          <idx val="6"/>
          <order val="2"/>
          <tx>
            <strRef>
              <f>[2]抖动计算!$AA$19</f>
              <strCache>
                <ptCount val="1"/>
                <pt idx="0">
                  <v>AC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[2]抖动计算!$AA$21:$AA$57</f>
              <numCache>
                <formatCode>General</formatCode>
                <ptCount val="37"/>
                <pt idx="0">
                  <v>324</v>
                </pt>
                <pt idx="1">
                  <v>323.1492341686836</v>
                </pt>
                <pt idx="2">
                  <v>320.6227867640109</v>
                </pt>
                <pt idx="3">
                  <v>316.4974226119286</v>
                </pt>
                <pt idx="4">
                  <v>310.8984888146628</v>
                </pt>
                <pt idx="5">
                  <v>303.9961061424462</v>
                </pt>
                <pt idx="6">
                  <v>296</v>
                </pt>
                <pt idx="7">
                  <v>287.1531280262375</v>
                </pt>
                <pt idx="8">
                  <v>277.7242979493481</v>
                </pt>
                <pt idx="9">
                  <v>268</v>
                </pt>
                <pt idx="10">
                  <v>258.2757020506519</v>
                </pt>
                <pt idx="11">
                  <v>248.8468719737625</v>
                </pt>
                <pt idx="12">
                  <v>240</v>
                </pt>
                <pt idx="13">
                  <v>232.0038938575538</v>
                </pt>
                <pt idx="14">
                  <v>225.1015111853372</v>
                </pt>
                <pt idx="15">
                  <v>219.5025773880714</v>
                </pt>
                <pt idx="16">
                  <v>215.3772132359891</v>
                </pt>
                <pt idx="17">
                  <v>212.8507658313164</v>
                </pt>
                <pt idx="18">
                  <v>212</v>
                </pt>
                <pt idx="19">
                  <v>212.8507658313164</v>
                </pt>
                <pt idx="20">
                  <v>215.3772132359891</v>
                </pt>
                <pt idx="21">
                  <v>219.5025773880714</v>
                </pt>
                <pt idx="22">
                  <v>225.1015111853372</v>
                </pt>
                <pt idx="23">
                  <v>232.0038938575538</v>
                </pt>
                <pt idx="24">
                  <v>240</v>
                </pt>
                <pt idx="25">
                  <v>248.8468719737625</v>
                </pt>
                <pt idx="26">
                  <v>258.2757020506519</v>
                </pt>
                <pt idx="27">
                  <v>268</v>
                </pt>
                <pt idx="28">
                  <v>277.7242979493481</v>
                </pt>
                <pt idx="29">
                  <v>287.1531280262375</v>
                </pt>
                <pt idx="30">
                  <v>296</v>
                </pt>
                <pt idx="31">
                  <v>303.9961061424462</v>
                </pt>
                <pt idx="32">
                  <v>310.8984888146628</v>
                </pt>
                <pt idx="33">
                  <v>316.4974226119285</v>
                </pt>
                <pt idx="34">
                  <v>320.6227867640109</v>
                </pt>
                <pt idx="35">
                  <v>323.1492341686836</v>
                </pt>
                <pt idx="36">
                  <v>324</v>
                </pt>
              </numCache>
            </numRef>
          </xVal>
          <yVal>
            <numRef>
              <f>[2]抖动计算!$AB$21:$AB$57</f>
              <numCache>
                <formatCode>General</formatCode>
                <ptCount val="37"/>
                <pt idx="0">
                  <v>132.5</v>
                </pt>
                <pt idx="1">
                  <v>142.2242979493481</v>
                </pt>
                <pt idx="2">
                  <v>151.6531280262375</v>
                </pt>
                <pt idx="3">
                  <v>160.5</v>
                </pt>
                <pt idx="4">
                  <v>168.4961061424462</v>
                </pt>
                <pt idx="5">
                  <v>175.3984888146628</v>
                </pt>
                <pt idx="6">
                  <v>180.9974226119286</v>
                </pt>
                <pt idx="7">
                  <v>185.1227867640109</v>
                </pt>
                <pt idx="8">
                  <v>187.6492341686836</v>
                </pt>
                <pt idx="9">
                  <v>188.5</v>
                </pt>
                <pt idx="10">
                  <v>187.6492341686836</v>
                </pt>
                <pt idx="11">
                  <v>185.1227867640109</v>
                </pt>
                <pt idx="12">
                  <v>180.9974226119286</v>
                </pt>
                <pt idx="13">
                  <v>175.3984888146628</v>
                </pt>
                <pt idx="14">
                  <v>168.4961061424462</v>
                </pt>
                <pt idx="15">
                  <v>160.5</v>
                </pt>
                <pt idx="16">
                  <v>151.6531280262375</v>
                </pt>
                <pt idx="17">
                  <v>142.2242979493481</v>
                </pt>
                <pt idx="18">
                  <v>132.5</v>
                </pt>
                <pt idx="19">
                  <v>122.7757020506519</v>
                </pt>
                <pt idx="20">
                  <v>113.3468719737625</v>
                </pt>
                <pt idx="21">
                  <v>104.5</v>
                </pt>
                <pt idx="22">
                  <v>96.50389385755381</v>
                </pt>
                <pt idx="23">
                  <v>89.60151118533724</v>
                </pt>
                <pt idx="24">
                  <v>84.00257738807144</v>
                </pt>
                <pt idx="25">
                  <v>79.87721323598913</v>
                </pt>
                <pt idx="26">
                  <v>77.35076583131635</v>
                </pt>
                <pt idx="27">
                  <v>76.5</v>
                </pt>
                <pt idx="28">
                  <v>77.35076583131635</v>
                </pt>
                <pt idx="29">
                  <v>79.87721323598913</v>
                </pt>
                <pt idx="30">
                  <v>84.00257738807144</v>
                </pt>
                <pt idx="31">
                  <v>89.60151118533722</v>
                </pt>
                <pt idx="32">
                  <v>96.50389385755378</v>
                </pt>
                <pt idx="33">
                  <v>104.5</v>
                </pt>
                <pt idx="34">
                  <v>113.3468719737625</v>
                </pt>
                <pt idx="35">
                  <v>122.7757020506519</v>
                </pt>
                <pt idx="36">
                  <v>132.5</v>
                </pt>
              </numCache>
            </numRef>
          </yVal>
          <smooth val="1"/>
        </ser>
        <ser>
          <idx val="7"/>
          <order val="3"/>
          <tx>
            <strRef>
              <f>[2]抖动计算!$AC$19</f>
              <strCache>
                <ptCount val="1"/>
                <pt idx="0">
                  <v>TEN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[2]抖动计算!$AC$21:$AC$57</f>
              <numCache>
                <formatCode>General</formatCode>
                <ptCount val="37"/>
                <pt idx="0">
                  <v>207.1933686575962</v>
                </pt>
                <pt idx="1">
                  <v>206.6434093166382</v>
                </pt>
                <pt idx="2">
                  <v>205.0102415300461</v>
                </pt>
                <pt idx="3">
                  <v>202.3434882745929</v>
                </pt>
                <pt idx="4">
                  <v>198.7241774985033</v>
                </pt>
                <pt idx="5">
                  <v>194.262280128249</v>
                </pt>
                <pt idx="6">
                  <v>189.0933686575962</v>
                </pt>
                <pt idx="7">
                  <v>183.3744978459855</v>
                </pt>
                <pt idx="8">
                  <v>177.2794326891391</v>
                </pt>
                <pt idx="9">
                  <v>170.9933686575962</v>
                </pt>
                <pt idx="10">
                  <v>164.7073046260534</v>
                </pt>
                <pt idx="11">
                  <v>158.6122394692071</v>
                </pt>
                <pt idx="12">
                  <v>152.8933686575963</v>
                </pt>
                <pt idx="13">
                  <v>147.7244571869435</v>
                </pt>
                <pt idx="14">
                  <v>143.2625598166892</v>
                </pt>
                <pt idx="15">
                  <v>139.6432490405996</v>
                </pt>
                <pt idx="16">
                  <v>136.9764957851464</v>
                </pt>
                <pt idx="17">
                  <v>135.3433279985543</v>
                </pt>
                <pt idx="18">
                  <v>134.7933686575963</v>
                </pt>
                <pt idx="19">
                  <v>135.3433279985543</v>
                </pt>
                <pt idx="20">
                  <v>136.9764957851464</v>
                </pt>
                <pt idx="21">
                  <v>139.6432490405996</v>
                </pt>
                <pt idx="22">
                  <v>143.2625598166892</v>
                </pt>
                <pt idx="23">
                  <v>147.7244571869435</v>
                </pt>
                <pt idx="24">
                  <v>152.8933686575962</v>
                </pt>
                <pt idx="25">
                  <v>158.612239469207</v>
                </pt>
                <pt idx="26">
                  <v>164.7073046260534</v>
                </pt>
                <pt idx="27">
                  <v>170.9933686575962</v>
                </pt>
                <pt idx="28">
                  <v>177.2794326891391</v>
                </pt>
                <pt idx="29">
                  <v>183.3744978459855</v>
                </pt>
                <pt idx="30">
                  <v>189.0933686575962</v>
                </pt>
                <pt idx="31">
                  <v>194.262280128249</v>
                </pt>
                <pt idx="32">
                  <v>198.7241774985033</v>
                </pt>
                <pt idx="33">
                  <v>202.3434882745929</v>
                </pt>
                <pt idx="34">
                  <v>205.0102415300461</v>
                </pt>
                <pt idx="35">
                  <v>206.6434093166382</v>
                </pt>
                <pt idx="36">
                  <v>207.1933686575962</v>
                </pt>
              </numCache>
            </numRef>
          </xVal>
          <yVal>
            <numRef>
              <f>[2]抖动计算!$AD$21:$AD$57</f>
              <numCache>
                <formatCode>General</formatCode>
                <ptCount val="37"/>
                <pt idx="0">
                  <v>12.87853575797232</v>
                </pt>
                <pt idx="1">
                  <v>19.1645997895152</v>
                </pt>
                <pt idx="2">
                  <v>25.25966494636153</v>
                </pt>
                <pt idx="3">
                  <v>30.97853575797232</v>
                </pt>
                <pt idx="4">
                  <v>36.14744722862504</v>
                </pt>
                <pt idx="5">
                  <v>40.60934459887933</v>
                </pt>
                <pt idx="6">
                  <v>44.228655374969</v>
                </pt>
                <pt idx="7">
                  <v>46.8954086304222</v>
                </pt>
                <pt idx="8">
                  <v>48.52857641701426</v>
                </pt>
                <pt idx="9">
                  <v>49.07853575797233</v>
                </pt>
                <pt idx="10">
                  <v>48.52857641701426</v>
                </pt>
                <pt idx="11">
                  <v>46.89540863042221</v>
                </pt>
                <pt idx="12">
                  <v>44.22865537496901</v>
                </pt>
                <pt idx="13">
                  <v>40.60934459887933</v>
                </pt>
                <pt idx="14">
                  <v>36.14744722862505</v>
                </pt>
                <pt idx="15">
                  <v>30.97853575797232</v>
                </pt>
                <pt idx="16">
                  <v>25.25966494636154</v>
                </pt>
                <pt idx="17">
                  <v>19.16459978951521</v>
                </pt>
                <pt idx="18">
                  <v>12.87853575797233</v>
                </pt>
                <pt idx="19">
                  <v>6.592471726429439</v>
                </pt>
                <pt idx="20">
                  <v>0.4974065695831165</v>
                </pt>
                <pt idx="21">
                  <v>-5.221464242027682</v>
                </pt>
                <pt idx="22">
                  <v>-10.3903757126804</v>
                </pt>
                <pt idx="23">
                  <v>-14.85227308293468</v>
                </pt>
                <pt idx="24">
                  <v>-18.47158385902435</v>
                </pt>
                <pt idx="25">
                  <v>-21.13833711447756</v>
                </pt>
                <pt idx="26">
                  <v>-22.77150490106961</v>
                </pt>
                <pt idx="27">
                  <v>-23.32146424202768</v>
                </pt>
                <pt idx="28">
                  <v>-22.77150490106961</v>
                </pt>
                <pt idx="29">
                  <v>-21.13833711447756</v>
                </pt>
                <pt idx="30">
                  <v>-18.47158385902436</v>
                </pt>
                <pt idx="31">
                  <v>-14.85227308293469</v>
                </pt>
                <pt idx="32">
                  <v>-10.39037571268041</v>
                </pt>
                <pt idx="33">
                  <v>-5.221464242027697</v>
                </pt>
                <pt idx="34">
                  <v>0.497406569583088</v>
                </pt>
                <pt idx="35">
                  <v>6.592471726429442</v>
                </pt>
                <pt idx="36">
                  <v>12.87853575797231</v>
                </pt>
              </numCache>
            </numRef>
          </yVal>
          <smooth val="1"/>
        </ser>
        <ser>
          <idx val="8"/>
          <order val="4"/>
          <tx>
            <strRef>
              <f>[2]抖动计算!$AE$19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[2]抖动计算!$AE$21:$AE$57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[2]抖动计算!$AF$21:$AF$57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9"/>
          <order val="5"/>
          <tx>
            <strRef>
              <f>[2]抖动计算!$AG$19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[2]抖动计算!$AG$21:$AG$57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[2]抖动计算!$AH$21:$AH$57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0"/>
          <order val="6"/>
          <tx>
            <strRef>
              <f>[2]抖动计算!$AI$19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[2]抖动计算!$AI$21:$AI$57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[2]抖动计算!$AJ$21:$AJ$57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1"/>
          <order val="7"/>
          <tx>
            <strRef>
              <f>[2]抖动计算!$AK$19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[2]抖动计算!$AK$21:$AK$57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[2]抖动计算!$AL$21:$AL$57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2"/>
          <order val="8"/>
          <tx>
            <strRef>
              <f>[2]抖动计算!$AM$19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[2]抖动计算!$AM$21:$AM$57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[2]抖动计算!$AN$21:$AN$57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3"/>
          <order val="9"/>
          <tx>
            <strRef>
              <f>[2]抖动计算!$AO$19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[2]抖动计算!$AO$21:$AO$57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[2]抖动计算!$AP$21:$AP$57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4"/>
          <order val="10"/>
          <tx>
            <strRef>
              <f>[2]对齐度计算!$BK$1</f>
              <strCache>
                <ptCount val="1"/>
                <pt idx="0">
                  <v>张紧器头部</v>
                </pt>
              </strCache>
            </strRef>
          </tx>
          <spPr>
            <a:ln w="9525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[2]对齐度计算!$BK$4:$BK$40</f>
              <numCache>
                <formatCode>General</formatCode>
                <ptCount val="37"/>
                <pt idx="0">
                  <v>140</v>
                </pt>
                <pt idx="1">
                  <v>139.6961550602442</v>
                </pt>
                <pt idx="2">
                  <v>138.7938524157182</v>
                </pt>
                <pt idx="3">
                  <v>137.3205080756888</v>
                </pt>
                <pt idx="4">
                  <v>135.3208888623795</v>
                </pt>
                <pt idx="5">
                  <v>132.8557521937308</v>
                </pt>
                <pt idx="6">
                  <v>130</v>
                </pt>
                <pt idx="7">
                  <v>126.8404028665134</v>
                </pt>
                <pt idx="8">
                  <v>123.4729635533386</v>
                </pt>
                <pt idx="9">
                  <v>120</v>
                </pt>
                <pt idx="10">
                  <v>116.5270364466614</v>
                </pt>
                <pt idx="11">
                  <v>113.1595971334866</v>
                </pt>
                <pt idx="12">
                  <v>110</v>
                </pt>
                <pt idx="13">
                  <v>107.1442478062692</v>
                </pt>
                <pt idx="14">
                  <v>104.6791111376204</v>
                </pt>
                <pt idx="15">
                  <v>102.6794919243112</v>
                </pt>
                <pt idx="16">
                  <v>101.2061475842818</v>
                </pt>
                <pt idx="17">
                  <v>100.3038449397558</v>
                </pt>
                <pt idx="18">
                  <v>100</v>
                </pt>
                <pt idx="19">
                  <v>100.3038449397558</v>
                </pt>
                <pt idx="20">
                  <v>101.2061475842818</v>
                </pt>
                <pt idx="21">
                  <v>102.6794919243112</v>
                </pt>
                <pt idx="22">
                  <v>104.6791111376204</v>
                </pt>
                <pt idx="23">
                  <v>107.1442478062692</v>
                </pt>
                <pt idx="24">
                  <v>110</v>
                </pt>
                <pt idx="25">
                  <v>113.1595971334866</v>
                </pt>
                <pt idx="26">
                  <v>116.5270364466614</v>
                </pt>
                <pt idx="27">
                  <v>120</v>
                </pt>
                <pt idx="28">
                  <v>123.4729635533386</v>
                </pt>
                <pt idx="29">
                  <v>126.8404028665134</v>
                </pt>
                <pt idx="30">
                  <v>130</v>
                </pt>
                <pt idx="31">
                  <v>132.8557521937308</v>
                </pt>
                <pt idx="32">
                  <v>135.3208888623795</v>
                </pt>
                <pt idx="33">
                  <v>137.3205080756888</v>
                </pt>
                <pt idx="34">
                  <v>138.7938524157182</v>
                </pt>
                <pt idx="35">
                  <v>139.6961550602442</v>
                </pt>
                <pt idx="36">
                  <v>140</v>
                </pt>
              </numCache>
            </numRef>
          </xVal>
          <yVal>
            <numRef>
              <f>[2]对齐度计算!$BL$4:$BL$40</f>
              <numCache>
                <formatCode>General</formatCode>
                <ptCount val="37"/>
                <pt idx="0">
                  <v>20</v>
                </pt>
                <pt idx="1">
                  <v>23.47296355333861</v>
                </pt>
                <pt idx="2">
                  <v>26.84040286651337</v>
                </pt>
                <pt idx="3">
                  <v>30</v>
                </pt>
                <pt idx="4">
                  <v>32.85575219373079</v>
                </pt>
                <pt idx="5">
                  <v>35.32088886237956</v>
                </pt>
                <pt idx="6">
                  <v>37.32050807568877</v>
                </pt>
                <pt idx="7">
                  <v>38.79385241571816</v>
                </pt>
                <pt idx="8">
                  <v>39.69615506024416</v>
                </pt>
                <pt idx="9">
                  <v>40</v>
                </pt>
                <pt idx="10">
                  <v>39.69615506024416</v>
                </pt>
                <pt idx="11">
                  <v>38.79385241571817</v>
                </pt>
                <pt idx="12">
                  <v>37.32050807568878</v>
                </pt>
                <pt idx="13">
                  <v>35.32088886237956</v>
                </pt>
                <pt idx="14">
                  <v>32.85575219373079</v>
                </pt>
                <pt idx="15">
                  <v>30</v>
                </pt>
                <pt idx="16">
                  <v>26.84040286651338</v>
                </pt>
                <pt idx="17">
                  <v>23.47296355333862</v>
                </pt>
                <pt idx="18">
                  <v>20</v>
                </pt>
                <pt idx="19">
                  <v>16.52703644666139</v>
                </pt>
                <pt idx="20">
                  <v>13.15959713348663</v>
                </pt>
                <pt idx="21">
                  <v>9.999999999999998</v>
                </pt>
                <pt idx="22">
                  <v>7.144247806269215</v>
                </pt>
                <pt idx="23">
                  <v>4.679111137620442</v>
                </pt>
                <pt idx="24">
                  <v>2.679491924311233</v>
                </pt>
                <pt idx="25">
                  <v>1.206147584281837</v>
                </pt>
                <pt idx="26">
                  <v>0.3038449397558409</v>
                </pt>
                <pt idx="27">
                  <v>0</v>
                </pt>
                <pt idx="28">
                  <v>0.3038449397558374</v>
                </pt>
                <pt idx="29">
                  <v>1.206147584281833</v>
                </pt>
                <pt idx="30">
                  <v>2.679491924311229</v>
                </pt>
                <pt idx="31">
                  <v>4.679111137620438</v>
                </pt>
                <pt idx="32">
                  <v>7.144247806269208</v>
                </pt>
                <pt idx="33">
                  <v>9.999999999999991</v>
                </pt>
                <pt idx="34">
                  <v>13.15959713348661</v>
                </pt>
                <pt idx="35">
                  <v>16.52703644666139</v>
                </pt>
                <pt idx="36">
                  <v>20</v>
                </pt>
              </numCache>
            </numRef>
          </yVal>
          <smooth val="1"/>
        </ser>
        <ser>
          <idx val="15"/>
          <order val="11"/>
          <tx>
            <v>张紧器臂</v>
          </tx>
          <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dPt>
          <xVal>
            <numRef>
              <f>([2]抖动计算!$A$3,[2]抖动计算!$AM$16)</f>
              <numCache>
                <formatCode>General</formatCode>
                <ptCount val="2"/>
                <pt idx="0">
                  <v>120</v>
                </pt>
                <pt idx="1">
                  <v>170.9933686575962</v>
                </pt>
              </numCache>
            </numRef>
          </xVal>
          <yVal>
            <numRef>
              <f>([2]抖动计算!$B$3,[2]抖动计算!$AN$16)</f>
              <numCache>
                <formatCode>General</formatCode>
                <ptCount val="2"/>
                <pt idx="0">
                  <v>20</v>
                </pt>
                <pt idx="1">
                  <v>12.87853575797232</v>
                </pt>
              </numCache>
            </numRef>
          </yVal>
          <smooth val="1"/>
        </ser>
        <ser>
          <idx val="16"/>
          <order val="12"/>
          <tx>
            <strRef>
              <f>[2]抖动计算!$B$10</f>
              <strCache>
                <ptCount val="1"/>
                <pt idx="0">
                  <v>CRK-ALT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  <a:headEnd w="lg" len="lg"/>
              <a:tailEnd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  <a:tailEnd w="lg" len="lg"/>
              </a:ln>
            </spPr>
          </dPt>
          <xVal>
            <numRef>
              <f>([2]抖动计算!$AE$61,[2]抖动计算!$AC$62)</f>
              <numCache>
                <formatCode>General</formatCode>
                <ptCount val="2"/>
                <pt idx="0">
                  <v>-7.933082074016857</v>
                </pt>
                <pt idx="1">
                  <v>246.8834320423505</v>
                </pt>
              </numCache>
            </numRef>
          </xVal>
          <yVal>
            <numRef>
              <f>([2]抖动计算!$AF$61,[2]抖动计算!$AD$62)</f>
              <numCache>
                <formatCode>General</formatCode>
                <ptCount val="2"/>
                <pt idx="0">
                  <v>-97.67838148130278</v>
                </pt>
                <pt idx="1">
                  <v>-118.3736498676547</v>
                </pt>
              </numCache>
            </numRef>
          </yVal>
          <smooth val="1"/>
        </ser>
        <ser>
          <idx val="17"/>
          <order val="13"/>
          <tx>
            <strRef>
              <f>[2]抖动计算!$B$11</f>
              <strCache>
                <ptCount val="1"/>
                <pt idx="0">
                  <v>ALT-AC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([2]抖动计算!$AE$62,[2]抖动计算!$AC$63)</f>
              <numCache>
                <formatCode>General</formatCode>
                <ptCount val="2"/>
                <pt idx="0">
                  <v>287.9665850326021</v>
                </pt>
                <pt idx="1">
                  <v>323.2241236837849</v>
                </pt>
              </numCache>
            </numRef>
          </xVal>
          <yVal>
            <numRef>
              <f>([2]抖动计算!$AF$62,[2]抖动计算!$AD$63)</f>
              <numCache>
                <formatCode>General</formatCode>
                <ptCount val="2"/>
                <pt idx="0">
                  <v>-86.38658132040865</v>
                </pt>
                <pt idx="1">
                  <v>123.2104271703147</v>
                </pt>
              </numCache>
            </numRef>
          </yVal>
          <smooth val="1"/>
        </ser>
        <ser>
          <idx val="18"/>
          <order val="14"/>
          <tx>
            <strRef>
              <f>[2]抖动计算!$B$12</f>
              <strCache>
                <ptCount val="1"/>
                <pt idx="0">
                  <v>AC-TEN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([2]抖动计算!$AE$63,[2]抖动计算!$AC$64)</f>
              <numCache>
                <formatCode>General</formatCode>
                <ptCount val="2"/>
                <pt idx="0">
                  <v>212.0438094916845</v>
                </pt>
                <pt idx="1">
                  <v>207.1677272830362</v>
                </pt>
              </numCache>
            </numRef>
          </xVal>
          <yVal>
            <numRef>
              <f>([2]抖动计算!$AF$63,[2]抖动计算!$AD$64)</f>
              <numCache>
                <formatCode>General</formatCode>
                <ptCount val="2"/>
                <pt idx="0">
                  <v>134.7146656174469</v>
                </pt>
                <pt idx="1">
                  <v>11.51626631397069</v>
                </pt>
              </numCache>
            </numRef>
          </yVal>
          <smooth val="1"/>
        </ser>
        <ser>
          <idx val="19"/>
          <order val="15"/>
          <tx>
            <strRef>
              <f>[2]抖动计算!$B$13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([2]抖动计算!$AE$64,[2]抖动计算!$AC$65)</f>
              <numCache>
                <formatCode>General</formatCode>
                <ptCount val="2"/>
                <pt idx="0">
                  <v>144.4353779915608</v>
                </pt>
                <pt idx="1">
                  <v>144.4353779915608</v>
                </pt>
              </numCache>
            </numRef>
          </xVal>
          <yVal>
            <numRef>
              <f>([2]抖动计算!$AF$64,[2]抖动计算!$AD$65)</f>
              <numCache>
                <formatCode>General</formatCode>
                <ptCount val="2"/>
                <pt idx="0">
                  <v>-11.72051161754156</v>
                </pt>
                <pt idx="1">
                  <v>-11.72051161754156</v>
                </pt>
              </numCache>
            </numRef>
          </yVal>
          <smooth val="1"/>
        </ser>
        <ser>
          <idx val="20"/>
          <order val="16"/>
          <tx>
            <strRef>
              <f>[2]抖动计算!$B$14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([2]抖动计算!$AE$65,[2]抖动计算!$AC$66)</f>
              <numCache>
                <formatCode>General</formatCode>
                <ptCount val="2"/>
                <pt idx="0">
                  <v>144.4353779915608</v>
                </pt>
                <pt idx="1">
                  <v>144.4353779915608</v>
                </pt>
              </numCache>
            </numRef>
          </xVal>
          <yVal>
            <numRef>
              <f>([2]抖动计算!$AF$65,[2]抖动计算!$AD$66)</f>
              <numCache>
                <formatCode>General</formatCode>
                <ptCount val="2"/>
                <pt idx="0">
                  <v>-11.72051161754156</v>
                </pt>
                <pt idx="1">
                  <v>-11.72051161754156</v>
                </pt>
              </numCache>
            </numRef>
          </yVal>
          <smooth val="1"/>
        </ser>
        <ser>
          <idx val="21"/>
          <order val="17"/>
          <tx>
            <strRef>
              <f>[2]抖动计算!$B$15</f>
              <strCache>
                <ptCount val="1"/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  <a:headEnd type="triangle"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</a:ln>
            </spPr>
          </dPt>
          <xVal>
            <numRef>
              <f>([2]抖动计算!$AE$66,[2]抖动计算!$AC$67)</f>
              <numCache>
                <formatCode>General</formatCode>
                <ptCount val="2"/>
                <pt idx="0">
                  <v>144.4353779915608</v>
                </pt>
                <pt idx="1">
                  <v>144.4353779915608</v>
                </pt>
              </numCache>
            </numRef>
          </xVal>
          <yVal>
            <numRef>
              <f>([2]抖动计算!$AF$66,[2]抖动计算!$AD$67)</f>
              <numCache>
                <formatCode>General</formatCode>
                <ptCount val="2"/>
                <pt idx="0">
                  <v>-11.72051161754156</v>
                </pt>
                <pt idx="1">
                  <v>-11.72051161754156</v>
                </pt>
              </numCache>
            </numRef>
          </yVal>
          <smooth val="1"/>
        </ser>
        <ser>
          <idx val="22"/>
          <order val="18"/>
          <tx>
            <strRef>
              <f>[2]抖动计算!$B$17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type="triangle"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</a:ln>
            </spPr>
          </dPt>
          <xVal>
            <numRef>
              <f>([2]抖动计算!$AE$67,[2]抖动计算!$AC$68)</f>
              <numCache>
                <formatCode>General</formatCode>
                <ptCount val="2"/>
                <pt idx="0">
                  <v>144.4353779915608</v>
                </pt>
                <pt idx="1">
                  <v>144.4353779915608</v>
                </pt>
              </numCache>
            </numRef>
          </xVal>
          <yVal>
            <numRef>
              <f>([2]抖动计算!$AF$67,[2]抖动计算!$AD$68)</f>
              <numCache>
                <formatCode>General</formatCode>
                <ptCount val="2"/>
                <pt idx="0">
                  <v>-11.72051161754156</v>
                </pt>
                <pt idx="1">
                  <v>-11.72051161754156</v>
                </pt>
              </numCache>
            </numRef>
          </yVal>
          <smooth val="1"/>
        </ser>
        <ser>
          <idx val="23"/>
          <order val="19"/>
          <tx>
            <strRef>
              <f>[2]抖动计算!$B$17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([2]抖动计算!$AE$68,[2]抖动计算!$AC$69)</f>
              <numCache>
                <formatCode>General</formatCode>
                <ptCount val="2"/>
                <pt idx="0">
                  <v>144.4353779915608</v>
                </pt>
                <pt idx="1">
                  <v>144.4353779915608</v>
                </pt>
              </numCache>
            </numRef>
          </xVal>
          <yVal>
            <numRef>
              <f>([2]抖动计算!$AF$68,[2]抖动计算!$AD$69)</f>
              <numCache>
                <formatCode>General</formatCode>
                <ptCount val="2"/>
                <pt idx="0">
                  <v>-11.72051161754156</v>
                </pt>
                <pt idx="1">
                  <v>-11.72051161754156</v>
                </pt>
              </numCache>
            </numRef>
          </yVal>
          <smooth val="1"/>
        </ser>
        <ser>
          <idx val="24"/>
          <order val="20"/>
          <tx>
            <strRef>
              <f>[2]抖动计算!$B$18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([2]抖动计算!$AE$69,[2]抖动计算!$AC$70)</f>
              <numCache>
                <formatCode>General</formatCode>
                <ptCount val="2"/>
                <pt idx="0">
                  <v>144.4353779915608</v>
                </pt>
                <pt idx="1">
                  <v>144.4353779915608</v>
                </pt>
              </numCache>
            </numRef>
          </xVal>
          <yVal>
            <numRef>
              <f>([2]抖动计算!$AF$69,[2]抖动计算!$AD$70)</f>
              <numCache>
                <formatCode>General</formatCode>
                <ptCount val="2"/>
                <pt idx="0">
                  <v>-11.72051161754156</v>
                </pt>
                <pt idx="1">
                  <v>-11.72051161754156</v>
                </pt>
              </numCache>
            </numRef>
          </yVal>
          <smooth val="1"/>
        </ser>
        <ser>
          <idx val="25"/>
          <order val="21"/>
          <tx>
            <strRef>
              <f>[2]抖动计算!$B$19</f>
              <strCache>
                <ptCount val="1"/>
                <pt idx="0">
                  <v>TEN-CRK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([2]抖动计算!$AE$70,[2]抖动计算!$AC$61)</f>
              <numCache>
                <formatCode>General</formatCode>
                <ptCount val="2"/>
                <pt idx="0">
                  <v>144.4353779915608</v>
                </pt>
                <pt idx="1">
                  <v>71.89732279755439</v>
                </pt>
              </numCache>
            </numRef>
          </xVal>
          <yVal>
            <numRef>
              <f>([2]抖动计算!$AF$70,[2]抖动计算!$AD$61)</f>
              <numCache>
                <formatCode>General</formatCode>
                <ptCount val="2"/>
                <pt idx="0">
                  <v>-11.72051161754156</v>
                </pt>
                <pt idx="1">
                  <v>66.59410615470611</v>
                </pt>
              </numCache>
            </numRef>
          </yVal>
          <smooth val="1"/>
        </ser>
        <ser>
          <idx val="26"/>
          <order val="22"/>
          <tx>
            <strRef>
              <f>[2]抖动计算!$W$61</f>
              <strCache>
                <ptCount val="1"/>
                <pt idx="0">
                  <v>CRK</v>
                </pt>
              </strCache>
            </strRef>
          </tx>
          <spPr>
            <a:ln w="1905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800" b="0" i="0" strike="noStrike" kern="1200" baseline="0">
                      <a:solidFill>
                        <a:schemeClr val="accent1"/>
                      </a:solidFill>
                      <a:latin typeface="+mn-lt"/>
                      <a:ea typeface="+mj-ea"/>
                      <a:cs typeface="+mn-cs"/>
                    </a:defRPr>
                  </a:pPr>
                  <a:r>
                    <a:t>None</a:t>
                  </a:r>
                  <a:endParaRPr lang="zh-CN" altLang="en-US"/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j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[2]抖动计算!$X$61</f>
              <numCache>
                <formatCode>General</formatCode>
                <ptCount val="1"/>
                <pt idx="0">
                  <v>0</v>
                </pt>
              </numCache>
            </numRef>
          </xVal>
          <yVal>
            <numRef>
              <f>[2]抖动计算!$Y$61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27"/>
          <order val="23"/>
          <tx>
            <strRef>
              <f>[2]抖动计算!$W$62</f>
              <strCache>
                <ptCount val="1"/>
                <pt idx="0">
                  <v>ALT</v>
                </pt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[2]抖动计算!$X$62</f>
              <numCache>
                <formatCode>General</formatCode>
                <ptCount val="1"/>
                <pt idx="0">
                  <v>250</v>
                </pt>
              </numCache>
            </numRef>
          </xVal>
          <yVal>
            <numRef>
              <f>[2]抖动计算!$Y$62</f>
              <numCache>
                <formatCode>General</formatCode>
                <ptCount val="1"/>
                <pt idx="0">
                  <v>-80</v>
                </pt>
              </numCache>
            </numRef>
          </yVal>
          <smooth val="1"/>
        </ser>
        <ser>
          <idx val="28"/>
          <order val="24"/>
          <tx>
            <strRef>
              <f>[2]抖动计算!$W$63</f>
              <strCache>
                <ptCount val="1"/>
                <pt idx="0">
                  <v>AC</v>
                </pt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[2]抖动计算!$X$63</f>
              <numCache>
                <formatCode>General</formatCode>
                <ptCount val="1"/>
                <pt idx="0">
                  <v>268</v>
                </pt>
              </numCache>
            </numRef>
          </xVal>
          <yVal>
            <numRef>
              <f>[2]抖动计算!$Y$63</f>
              <numCache>
                <formatCode>General</formatCode>
                <ptCount val="1"/>
                <pt idx="0">
                  <v>132.5</v>
                </pt>
              </numCache>
            </numRef>
          </yVal>
          <smooth val="1"/>
        </ser>
        <ser>
          <idx val="29"/>
          <order val="25"/>
          <tx>
            <strRef>
              <f>[2]抖动计算!$W$64</f>
              <strCache>
                <ptCount val="1"/>
                <pt idx="0">
                  <v>TEN</v>
                </pt>
              </strCache>
            </strRef>
          </tx>
          <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[2]抖动计算!$X$64</f>
              <numCache>
                <formatCode>General</formatCode>
                <ptCount val="1"/>
                <pt idx="0">
                  <v>170.9933686575962</v>
                </pt>
              </numCache>
            </numRef>
          </xVal>
          <yVal>
            <numRef>
              <f>[2]抖动计算!$Y$64</f>
              <numCache>
                <formatCode>General</formatCode>
                <ptCount val="1"/>
                <pt idx="0">
                  <v>12.87853575797232</v>
                </pt>
              </numCache>
            </numRef>
          </yVal>
          <smooth val="1"/>
        </ser>
        <ser>
          <idx val="30"/>
          <order val="26"/>
          <tx>
            <strRef>
              <f>[2]抖动计算!$W$65</f>
              <strCache>
                <ptCount val="1"/>
              </strCache>
            </strRef>
          </tx>
          <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[2]抖动计算!$X$65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[2]抖动计算!$Y$65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1"/>
          <order val="27"/>
          <tx>
            <strRef>
              <f>[2]抖动计算!$W$66</f>
              <strCache>
                <ptCount val="1"/>
              </strCache>
            </strRef>
          </tx>
          <spPr>
            <a:ln w="0" cap="sq">
              <a:solidFill>
                <a:schemeClr val="bg1">
                  <a:alpha val="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spPr>
                <a:noFill/>
                <a:ln>
                  <a:solidFill>
                    <a:schemeClr val="tx1">
                      <a:alpha val="0"/>
                      <a:lumMod val="50000"/>
                      <a:lumOff val="50000"/>
                    </a:schemeClr>
                  </a:solidFill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zh-CN"/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solidFill>
                <a:schemeClr val="bg1"/>
              </a:solidFill>
              <a:ln>
                <a:solidFill>
                  <a:schemeClr val="tx1">
                    <a:alpha val="0"/>
                    <a:lumMod val="50000"/>
                    <a:lumOff val="50000"/>
                  </a:schemeClr>
                </a:solidFill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[2]抖动计算!$X$66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[2]抖动计算!$Y$66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0"/>
        </ser>
        <ser>
          <idx val="32"/>
          <order val="28"/>
          <tx>
            <strRef>
              <f>[2]抖动计算!$W$67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[2]抖动计算!$X$67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[2]抖动计算!$Y$67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3"/>
          <order val="29"/>
          <tx>
            <strRef>
              <f>[2]抖动计算!$W$68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[2]抖动计算!$X$68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[2]抖动计算!$Y$68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4"/>
          <order val="30"/>
          <tx>
            <strRef>
              <f>[2]抖动计算!$W$69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[2]抖动计算!$X$69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[2]抖动计算!$Y$69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5"/>
          <order val="31"/>
          <tx>
            <strRef>
              <f>[2]抖动计算!$W$70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[2]抖动计算!$X$70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[2]抖动计算!$Y$70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6"/>
          <order val="32"/>
          <tx>
            <v>短皮带前带段抖动</v>
          </tx>
          <spPr>
            <a:ln w="19050" cap="rnd">
              <a:solidFill>
                <a:schemeClr val="accent5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rgbClr val="FF0000"/>
                </a:solidFill>
                <a:prstDash val="dash"/>
                <a:round/>
              </a:ln>
            </spPr>
          </dPt>
          <xVal>
            <numRef>
              <f>([2]抖动计算!$AJ$4,[2]抖动计算!$AA$12)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xVal>
          <yVal>
            <numRef>
              <f>([2]抖动计算!$AK$4,[2]抖动计算!$AB$12)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yVal>
          <smooth val="1"/>
        </ser>
        <ser>
          <idx val="37"/>
          <order val="33"/>
          <tx>
            <v>短皮带后带段抖动</v>
          </tx>
          <spPr>
            <a:ln w="9525" cap="rnd">
              <a:solidFill>
                <a:schemeClr val="accent5">
                  <a:lumMod val="60000"/>
                </a:schemeClr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rgbClr val="FF0000"/>
                </a:solidFill>
                <a:prstDash val="dash"/>
                <a:round/>
              </a:ln>
            </spPr>
          </dPt>
          <xVal>
            <numRef>
              <f>([2]抖动计算!$AJ$4,[2]抖动计算!$AH$12)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xVal>
          <yVal>
            <numRef>
              <f>([2]抖动计算!$AK$4,[2]抖动计算!$AI$12)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9373440"/>
        <axId val="209399808"/>
      </scatterChart>
      <valAx>
        <axId val="209373440"/>
        <scaling>
          <orientation val="minMax"/>
          <max val="500"/>
          <min val="-30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zh-CN"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09399808"/>
        <crossesAt val="-1000"/>
        <crossBetween val="midCat"/>
      </valAx>
      <valAx>
        <axId val="209399808"/>
        <scaling>
          <orientation val="minMax"/>
          <max val="400"/>
          <min val="-2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zh-CN"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09373440"/>
        <crossesAt val="-500"/>
        <crossBetween val="midCat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039796706450983"/>
          <y val="0.03703026498454592"/>
          <w val="0.8535908229627404"/>
          <h val="0.8671021063795464"/>
        </manualLayout>
      </layout>
      <scatterChart>
        <scatterStyle val="smoothMarker"/>
        <varyColors val="0"/>
        <ser>
          <idx val="4"/>
          <order val="0"/>
          <tx>
            <strRef>
              <f>[2]抖动计算!$AQ$19</f>
              <strCache>
                <ptCount val="1"/>
                <pt idx="0">
                  <v>CRK</v>
                </pt>
              </strCache>
            </strRef>
          </tx>
          <spPr>
            <a:ln w="9525" cap="rnd">
              <a:solidFill>
                <a:schemeClr val="tx2">
                  <a:lumMod val="60000"/>
                  <a:lumOff val="40000"/>
                </a:schemeClr>
              </a:solidFill>
              <a:prstDash val="solid"/>
              <a:round/>
              <a:tail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[2]抖动计算!$AQ$21:$AQ$57</f>
              <numCache>
                <formatCode>General</formatCode>
                <ptCount val="37"/>
                <pt idx="0">
                  <v>98</v>
                </pt>
                <pt idx="1">
                  <v>96.51115979519639</v>
                </pt>
                <pt idx="2">
                  <v>92.08987683701902</v>
                </pt>
                <pt idx="3">
                  <v>84.87048957087499</v>
                </pt>
                <pt idx="4">
                  <v>75.07235542565985</v>
                </pt>
                <pt idx="5">
                  <v>62.99318574928085</v>
                </pt>
                <pt idx="6">
                  <v>49.00000000000001</v>
                </pt>
                <pt idx="7">
                  <v>33.51797404591554</v>
                </pt>
                <pt idx="8">
                  <v>17.01752141135918</v>
                </pt>
                <pt idx="9">
                  <v>6.003227429052238e-15</v>
                </pt>
                <pt idx="10">
                  <v>-17.01752141135917</v>
                </pt>
                <pt idx="11">
                  <v>-33.51797404591554</v>
                </pt>
                <pt idx="12">
                  <v>-48.99999999999998</v>
                </pt>
                <pt idx="13">
                  <v>-62.99318574928085</v>
                </pt>
                <pt idx="14">
                  <v>-75.07235542565984</v>
                </pt>
                <pt idx="15">
                  <v>-84.87048957087499</v>
                </pt>
                <pt idx="16">
                  <v>-92.08987683701902</v>
                </pt>
                <pt idx="17">
                  <v>-96.51115979519639</v>
                </pt>
                <pt idx="18">
                  <v>-98</v>
                </pt>
                <pt idx="19">
                  <v>-96.51115979519639</v>
                </pt>
                <pt idx="20">
                  <v>-92.08987683701902</v>
                </pt>
                <pt idx="21">
                  <v>-84.87048957087498</v>
                </pt>
                <pt idx="22">
                  <v>-75.07235542565985</v>
                </pt>
                <pt idx="23">
                  <v>-62.99318574928087</v>
                </pt>
                <pt idx="24">
                  <v>-49.00000000000004</v>
                </pt>
                <pt idx="25">
                  <v>-33.5179740459156</v>
                </pt>
                <pt idx="26">
                  <v>-17.01752141135917</v>
                </pt>
                <pt idx="27">
                  <v>-1.800968228715671e-14</v>
                </pt>
                <pt idx="28">
                  <v>17.01752141135914</v>
                </pt>
                <pt idx="29">
                  <v>33.51797404591556</v>
                </pt>
                <pt idx="30">
                  <v>49.00000000000001</v>
                </pt>
                <pt idx="31">
                  <v>62.99318574928085</v>
                </pt>
                <pt idx="32">
                  <v>75.07235542565982</v>
                </pt>
                <pt idx="33">
                  <v>84.87048957087497</v>
                </pt>
                <pt idx="34">
                  <v>92.08987683701899</v>
                </pt>
                <pt idx="35">
                  <v>96.51115979519639</v>
                </pt>
                <pt idx="36">
                  <v>98</v>
                </pt>
              </numCache>
            </numRef>
          </xVal>
          <yVal>
            <numRef>
              <f>[2]抖动计算!$AR$21:$AR$57</f>
              <numCache>
                <formatCode>General</formatCode>
                <ptCount val="37"/>
                <pt idx="0">
                  <v>0</v>
                </pt>
                <pt idx="1">
                  <v>17.01752141135917</v>
                </pt>
                <pt idx="2">
                  <v>33.51797404591554</v>
                </pt>
                <pt idx="3">
                  <v>48.99999999999999</v>
                </pt>
                <pt idx="4">
                  <v>62.99318574928085</v>
                </pt>
                <pt idx="5">
                  <v>75.07235542565985</v>
                </pt>
                <pt idx="6">
                  <v>84.87048957087498</v>
                </pt>
                <pt idx="7">
                  <v>92.08987683701902</v>
                </pt>
                <pt idx="8">
                  <v>96.51115979519639</v>
                </pt>
                <pt idx="9">
                  <v>98</v>
                </pt>
                <pt idx="10">
                  <v>96.51115979519639</v>
                </pt>
                <pt idx="11">
                  <v>92.08987683701902</v>
                </pt>
                <pt idx="12">
                  <v>84.87048957087499</v>
                </pt>
                <pt idx="13">
                  <v>75.07235542565985</v>
                </pt>
                <pt idx="14">
                  <v>62.99318574928087</v>
                </pt>
                <pt idx="15">
                  <v>48.99999999999999</v>
                </pt>
                <pt idx="16">
                  <v>33.51797404591555</v>
                </pt>
                <pt idx="17">
                  <v>17.01752141135921</v>
                </pt>
                <pt idx="18">
                  <v>1.200645485810448e-14</v>
                </pt>
                <pt idx="19">
                  <v>-17.01752141135919</v>
                </pt>
                <pt idx="20">
                  <v>-33.51797404591553</v>
                </pt>
                <pt idx="21">
                  <v>-49.00000000000001</v>
                </pt>
                <pt idx="22">
                  <v>-62.99318574928085</v>
                </pt>
                <pt idx="23">
                  <v>-75.07235542565984</v>
                </pt>
                <pt idx="24">
                  <v>-84.87048957087497</v>
                </pt>
                <pt idx="25">
                  <v>-92.08987683701901</v>
                </pt>
                <pt idx="26">
                  <v>-96.51115979519639</v>
                </pt>
                <pt idx="27">
                  <v>-98</v>
                </pt>
                <pt idx="28">
                  <v>-96.51115979519639</v>
                </pt>
                <pt idx="29">
                  <v>-92.08987683701902</v>
                </pt>
                <pt idx="30">
                  <v>-84.87048957087498</v>
                </pt>
                <pt idx="31">
                  <v>-75.07235542565985</v>
                </pt>
                <pt idx="32">
                  <v>-62.99318574928088</v>
                </pt>
                <pt idx="33">
                  <v>-49.00000000000004</v>
                </pt>
                <pt idx="34">
                  <v>-33.51797404591561</v>
                </pt>
                <pt idx="35">
                  <v>-17.01752141135918</v>
                </pt>
                <pt idx="36">
                  <v>-2.401290971620895e-14</v>
                </pt>
              </numCache>
            </numRef>
          </yVal>
          <smooth val="1"/>
        </ser>
        <ser>
          <idx val="5"/>
          <order val="1"/>
          <tx>
            <strRef>
              <f>[2]抖动计算!$AS$19</f>
              <strCache>
                <ptCount val="1"/>
                <pt idx="0">
                  <v>ALT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[2]抖动计算!$AS$21:$AS$57</f>
              <numCache>
                <formatCode>General</formatCode>
                <ptCount val="37"/>
                <pt idx="0">
                  <v>288.5</v>
                </pt>
                <pt idx="1">
                  <v>287.91509849097</v>
                </pt>
                <pt idx="2">
                  <v>286.1781659002575</v>
                </pt>
                <pt idx="3">
                  <v>283.3419780457009</v>
                </pt>
                <pt idx="4">
                  <v>279.4927110600806</v>
                </pt>
                <pt idx="5">
                  <v>274.7473229729318</v>
                </pt>
                <pt idx="6">
                  <v>269.25</v>
                </pt>
                <pt idx="7">
                  <v>263.1677755180382</v>
                </pt>
                <pt idx="8">
                  <v>256.6854548401768</v>
                </pt>
                <pt idx="9">
                  <v>250</v>
                </pt>
                <pt idx="10">
                  <v>243.3145451598232</v>
                </pt>
                <pt idx="11">
                  <v>236.8322244819618</v>
                </pt>
                <pt idx="12">
                  <v>230.75</v>
                </pt>
                <pt idx="13">
                  <v>225.2526770270682</v>
                </pt>
                <pt idx="14">
                  <v>220.5072889399194</v>
                </pt>
                <pt idx="15">
                  <v>216.6580219542991</v>
                </pt>
                <pt idx="16">
                  <v>213.8218340997425</v>
                </pt>
                <pt idx="17">
                  <v>212.08490150903</v>
                </pt>
                <pt idx="18">
                  <v>211.5</v>
                </pt>
                <pt idx="19">
                  <v>212.08490150903</v>
                </pt>
                <pt idx="20">
                  <v>213.8218340997425</v>
                </pt>
                <pt idx="21">
                  <v>216.6580219542991</v>
                </pt>
                <pt idx="22">
                  <v>220.5072889399193</v>
                </pt>
                <pt idx="23">
                  <v>225.2526770270682</v>
                </pt>
                <pt idx="24">
                  <v>230.75</v>
                </pt>
                <pt idx="25">
                  <v>236.8322244819617</v>
                </pt>
                <pt idx="26">
                  <v>243.3145451598232</v>
                </pt>
                <pt idx="27">
                  <v>250</v>
                </pt>
                <pt idx="28">
                  <v>256.6854548401768</v>
                </pt>
                <pt idx="29">
                  <v>263.1677755180382</v>
                </pt>
                <pt idx="30">
                  <v>269.25</v>
                </pt>
                <pt idx="31">
                  <v>274.7473229729318</v>
                </pt>
                <pt idx="32">
                  <v>279.4927110600806</v>
                </pt>
                <pt idx="33">
                  <v>283.3419780457009</v>
                </pt>
                <pt idx="34">
                  <v>286.1781659002575</v>
                </pt>
                <pt idx="35">
                  <v>287.91509849097</v>
                </pt>
                <pt idx="36">
                  <v>288.5</v>
                </pt>
              </numCache>
            </numRef>
          </xVal>
          <yVal>
            <numRef>
              <f>[2]抖动计算!$AT$21:$AT$57</f>
              <numCache>
                <formatCode>General</formatCode>
                <ptCount val="37"/>
                <pt idx="0">
                  <v>-80</v>
                </pt>
                <pt idx="1">
                  <v>-73.31454515982318</v>
                </pt>
                <pt idx="2">
                  <v>-66.83222448196176</v>
                </pt>
                <pt idx="3">
                  <v>-60.75</v>
                </pt>
                <pt idx="4">
                  <v>-55.25267702706824</v>
                </pt>
                <pt idx="5">
                  <v>-50.50728893991935</v>
                </pt>
                <pt idx="6">
                  <v>-46.65802195429912</v>
                </pt>
                <pt idx="7">
                  <v>-43.82183409974253</v>
                </pt>
                <pt idx="8">
                  <v>-42.08490150902999</v>
                </pt>
                <pt idx="9">
                  <v>-41.5</v>
                </pt>
                <pt idx="10">
                  <v>-42.08490150902999</v>
                </pt>
                <pt idx="11">
                  <v>-43.82183409974252</v>
                </pt>
                <pt idx="12">
                  <v>-46.65802195429911</v>
                </pt>
                <pt idx="13">
                  <v>-50.50728893991935</v>
                </pt>
                <pt idx="14">
                  <v>-55.25267702706823</v>
                </pt>
                <pt idx="15">
                  <v>-60.75</v>
                </pt>
                <pt idx="16">
                  <v>-66.83222448196175</v>
                </pt>
                <pt idx="17">
                  <v>-73.31454515982317</v>
                </pt>
                <pt idx="18">
                  <v>-80</v>
                </pt>
                <pt idx="19">
                  <v>-86.68545484017682</v>
                </pt>
                <pt idx="20">
                  <v>-93.16777551803824</v>
                </pt>
                <pt idx="21">
                  <v>-99.25</v>
                </pt>
                <pt idx="22">
                  <v>-104.7473229729318</v>
                </pt>
                <pt idx="23">
                  <v>-109.4927110600807</v>
                </pt>
                <pt idx="24">
                  <v>-113.3419780457009</v>
                </pt>
                <pt idx="25">
                  <v>-116.1781659002575</v>
                </pt>
                <pt idx="26">
                  <v>-117.91509849097</v>
                </pt>
                <pt idx="27">
                  <v>-118.5</v>
                </pt>
                <pt idx="28">
                  <v>-117.91509849097</v>
                </pt>
                <pt idx="29">
                  <v>-116.1781659002575</v>
                </pt>
                <pt idx="30">
                  <v>-113.3419780457009</v>
                </pt>
                <pt idx="31">
                  <v>-109.4927110600807</v>
                </pt>
                <pt idx="32">
                  <v>-104.7473229729318</v>
                </pt>
                <pt idx="33">
                  <v>-99.25000000000001</v>
                </pt>
                <pt idx="34">
                  <v>-93.16777551803827</v>
                </pt>
                <pt idx="35">
                  <v>-86.68545484017682</v>
                </pt>
                <pt idx="36">
                  <v>-80.00000000000001</v>
                </pt>
              </numCache>
            </numRef>
          </yVal>
          <smooth val="1"/>
        </ser>
        <ser>
          <idx val="6"/>
          <order val="2"/>
          <tx>
            <strRef>
              <f>[2]抖动计算!$AU$19</f>
              <strCache>
                <ptCount val="1"/>
                <pt idx="0">
                  <v>AC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[2]抖动计算!$AU$21:$AU$57</f>
              <numCache>
                <formatCode>General</formatCode>
                <ptCount val="37"/>
                <pt idx="0">
                  <v>324</v>
                </pt>
                <pt idx="1">
                  <v>323.1492341686836</v>
                </pt>
                <pt idx="2">
                  <v>320.6227867640109</v>
                </pt>
                <pt idx="3">
                  <v>316.4974226119286</v>
                </pt>
                <pt idx="4">
                  <v>310.8984888146628</v>
                </pt>
                <pt idx="5">
                  <v>303.9961061424462</v>
                </pt>
                <pt idx="6">
                  <v>296</v>
                </pt>
                <pt idx="7">
                  <v>287.1531280262375</v>
                </pt>
                <pt idx="8">
                  <v>277.7242979493481</v>
                </pt>
                <pt idx="9">
                  <v>268</v>
                </pt>
                <pt idx="10">
                  <v>258.2757020506519</v>
                </pt>
                <pt idx="11">
                  <v>248.8468719737625</v>
                </pt>
                <pt idx="12">
                  <v>240</v>
                </pt>
                <pt idx="13">
                  <v>232.0038938575538</v>
                </pt>
                <pt idx="14">
                  <v>225.1015111853372</v>
                </pt>
                <pt idx="15">
                  <v>219.5025773880714</v>
                </pt>
                <pt idx="16">
                  <v>215.3772132359891</v>
                </pt>
                <pt idx="17">
                  <v>212.8507658313164</v>
                </pt>
                <pt idx="18">
                  <v>212</v>
                </pt>
                <pt idx="19">
                  <v>212.8507658313164</v>
                </pt>
                <pt idx="20">
                  <v>215.3772132359891</v>
                </pt>
                <pt idx="21">
                  <v>219.5025773880714</v>
                </pt>
                <pt idx="22">
                  <v>225.1015111853372</v>
                </pt>
                <pt idx="23">
                  <v>232.0038938575538</v>
                </pt>
                <pt idx="24">
                  <v>240</v>
                </pt>
                <pt idx="25">
                  <v>248.8468719737625</v>
                </pt>
                <pt idx="26">
                  <v>258.2757020506519</v>
                </pt>
                <pt idx="27">
                  <v>268</v>
                </pt>
                <pt idx="28">
                  <v>277.7242979493481</v>
                </pt>
                <pt idx="29">
                  <v>287.1531280262375</v>
                </pt>
                <pt idx="30">
                  <v>296</v>
                </pt>
                <pt idx="31">
                  <v>303.9961061424462</v>
                </pt>
                <pt idx="32">
                  <v>310.8984888146628</v>
                </pt>
                <pt idx="33">
                  <v>316.4974226119285</v>
                </pt>
                <pt idx="34">
                  <v>320.6227867640109</v>
                </pt>
                <pt idx="35">
                  <v>323.1492341686836</v>
                </pt>
                <pt idx="36">
                  <v>324</v>
                </pt>
              </numCache>
            </numRef>
          </xVal>
          <yVal>
            <numRef>
              <f>[2]抖动计算!$AV$21:$AV$57</f>
              <numCache>
                <formatCode>General</formatCode>
                <ptCount val="37"/>
                <pt idx="0">
                  <v>132.5</v>
                </pt>
                <pt idx="1">
                  <v>142.2242979493481</v>
                </pt>
                <pt idx="2">
                  <v>151.6531280262375</v>
                </pt>
                <pt idx="3">
                  <v>160.5</v>
                </pt>
                <pt idx="4">
                  <v>168.4961061424462</v>
                </pt>
                <pt idx="5">
                  <v>175.3984888146628</v>
                </pt>
                <pt idx="6">
                  <v>180.9974226119286</v>
                </pt>
                <pt idx="7">
                  <v>185.1227867640109</v>
                </pt>
                <pt idx="8">
                  <v>187.6492341686836</v>
                </pt>
                <pt idx="9">
                  <v>188.5</v>
                </pt>
                <pt idx="10">
                  <v>187.6492341686836</v>
                </pt>
                <pt idx="11">
                  <v>185.1227867640109</v>
                </pt>
                <pt idx="12">
                  <v>180.9974226119286</v>
                </pt>
                <pt idx="13">
                  <v>175.3984888146628</v>
                </pt>
                <pt idx="14">
                  <v>168.4961061424462</v>
                </pt>
                <pt idx="15">
                  <v>160.5</v>
                </pt>
                <pt idx="16">
                  <v>151.6531280262375</v>
                </pt>
                <pt idx="17">
                  <v>142.2242979493481</v>
                </pt>
                <pt idx="18">
                  <v>132.5</v>
                </pt>
                <pt idx="19">
                  <v>122.7757020506519</v>
                </pt>
                <pt idx="20">
                  <v>113.3468719737625</v>
                </pt>
                <pt idx="21">
                  <v>104.5</v>
                </pt>
                <pt idx="22">
                  <v>96.50389385755381</v>
                </pt>
                <pt idx="23">
                  <v>89.60151118533724</v>
                </pt>
                <pt idx="24">
                  <v>84.00257738807144</v>
                </pt>
                <pt idx="25">
                  <v>79.87721323598913</v>
                </pt>
                <pt idx="26">
                  <v>77.35076583131635</v>
                </pt>
                <pt idx="27">
                  <v>76.5</v>
                </pt>
                <pt idx="28">
                  <v>77.35076583131635</v>
                </pt>
                <pt idx="29">
                  <v>79.87721323598913</v>
                </pt>
                <pt idx="30">
                  <v>84.00257738807144</v>
                </pt>
                <pt idx="31">
                  <v>89.60151118533722</v>
                </pt>
                <pt idx="32">
                  <v>96.50389385755378</v>
                </pt>
                <pt idx="33">
                  <v>104.5</v>
                </pt>
                <pt idx="34">
                  <v>113.3468719737625</v>
                </pt>
                <pt idx="35">
                  <v>122.7757020506519</v>
                </pt>
                <pt idx="36">
                  <v>132.5</v>
                </pt>
              </numCache>
            </numRef>
          </yVal>
          <smooth val="1"/>
        </ser>
        <ser>
          <idx val="7"/>
          <order val="3"/>
          <tx>
            <strRef>
              <f>[2]抖动计算!$AW$19</f>
              <strCache>
                <ptCount val="1"/>
                <pt idx="0">
                  <v>TEN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[2]抖动计算!$AW$21:$AW$57</f>
              <numCache>
                <formatCode>General</formatCode>
                <ptCount val="37"/>
                <pt idx="0">
                  <v>206.5649664272505</v>
                </pt>
                <pt idx="1">
                  <v>206.0150070862924</v>
                </pt>
                <pt idx="2">
                  <v>204.3818392997003</v>
                </pt>
                <pt idx="3">
                  <v>201.7150860442472</v>
                </pt>
                <pt idx="4">
                  <v>198.0957752681575</v>
                </pt>
                <pt idx="5">
                  <v>193.6338778979032</v>
                </pt>
                <pt idx="6">
                  <v>188.4649664272505</v>
                </pt>
                <pt idx="7">
                  <v>182.7460956156397</v>
                </pt>
                <pt idx="8">
                  <v>176.6510304587933</v>
                </pt>
                <pt idx="9">
                  <v>170.3649664272505</v>
                </pt>
                <pt idx="10">
                  <v>164.0789023957076</v>
                </pt>
                <pt idx="11">
                  <v>157.9838372388613</v>
                </pt>
                <pt idx="12">
                  <v>152.2649664272505</v>
                </pt>
                <pt idx="13">
                  <v>147.0960549565977</v>
                </pt>
                <pt idx="14">
                  <v>142.6341575863435</v>
                </pt>
                <pt idx="15">
                  <v>139.0148468102538</v>
                </pt>
                <pt idx="16">
                  <v>136.3480935548006</v>
                </pt>
                <pt idx="17">
                  <v>134.7149257682085</v>
                </pt>
                <pt idx="18">
                  <v>134.1649664272505</v>
                </pt>
                <pt idx="19">
                  <v>134.7149257682085</v>
                </pt>
                <pt idx="20">
                  <v>136.3480935548006</v>
                </pt>
                <pt idx="21">
                  <v>139.0148468102538</v>
                </pt>
                <pt idx="22">
                  <v>142.6341575863435</v>
                </pt>
                <pt idx="23">
                  <v>147.0960549565977</v>
                </pt>
                <pt idx="24">
                  <v>152.2649664272504</v>
                </pt>
                <pt idx="25">
                  <v>157.9838372388612</v>
                </pt>
                <pt idx="26">
                  <v>164.0789023957076</v>
                </pt>
                <pt idx="27">
                  <v>170.3649664272505</v>
                </pt>
                <pt idx="28">
                  <v>176.6510304587933</v>
                </pt>
                <pt idx="29">
                  <v>182.7460956156397</v>
                </pt>
                <pt idx="30">
                  <v>188.4649664272505</v>
                </pt>
                <pt idx="31">
                  <v>193.6338778979032</v>
                </pt>
                <pt idx="32">
                  <v>198.0957752681575</v>
                </pt>
                <pt idx="33">
                  <v>201.7150860442471</v>
                </pt>
                <pt idx="34">
                  <v>204.3818392997003</v>
                </pt>
                <pt idx="35">
                  <v>206.0150070862924</v>
                </pt>
                <pt idx="36">
                  <v>206.5649664272505</v>
                </pt>
              </numCache>
            </numRef>
          </xVal>
          <yVal>
            <numRef>
              <f>[2]抖动计算!$AX$21:$AX$57</f>
              <numCache>
                <formatCode>General</formatCode>
                <ptCount val="37"/>
                <pt idx="0">
                  <v>9.303783062132151</v>
                </pt>
                <pt idx="1">
                  <v>15.58984709367503</v>
                </pt>
                <pt idx="2">
                  <v>21.68491225052136</v>
                </pt>
                <pt idx="3">
                  <v>27.40378306213215</v>
                </pt>
                <pt idx="4">
                  <v>32.57269453278487</v>
                </pt>
                <pt idx="5">
                  <v>37.03459190303916</v>
                </pt>
                <pt idx="6">
                  <v>40.65390267912883</v>
                </pt>
                <pt idx="7">
                  <v>43.32065593458204</v>
                </pt>
                <pt idx="8">
                  <v>44.95382372117409</v>
                </pt>
                <pt idx="9">
                  <v>45.50378306213216</v>
                </pt>
                <pt idx="10">
                  <v>44.95382372117409</v>
                </pt>
                <pt idx="11">
                  <v>43.32065593458204</v>
                </pt>
                <pt idx="12">
                  <v>40.65390267912883</v>
                </pt>
                <pt idx="13">
                  <v>37.03459190303916</v>
                </pt>
                <pt idx="14">
                  <v>32.57269453278488</v>
                </pt>
                <pt idx="15">
                  <v>27.40378306213215</v>
                </pt>
                <pt idx="16">
                  <v>21.68491225052136</v>
                </pt>
                <pt idx="17">
                  <v>15.58984709367504</v>
                </pt>
                <pt idx="18">
                  <v>9.303783062132155</v>
                </pt>
                <pt idx="19">
                  <v>3.017719030589268</v>
                </pt>
                <pt idx="20">
                  <v>-3.077346126257055</v>
                </pt>
                <pt idx="21">
                  <v>-8.796216937867854</v>
                </pt>
                <pt idx="22">
                  <v>-13.96512840852057</v>
                </pt>
                <pt idx="23">
                  <v>-18.42702577877485</v>
                </pt>
                <pt idx="24">
                  <v>-22.04633655486452</v>
                </pt>
                <pt idx="25">
                  <v>-24.71308981031773</v>
                </pt>
                <pt idx="26">
                  <v>-26.34625759690978</v>
                </pt>
                <pt idx="27">
                  <v>-26.89621693786785</v>
                </pt>
                <pt idx="28">
                  <v>-26.34625759690978</v>
                </pt>
                <pt idx="29">
                  <v>-24.71308981031773</v>
                </pt>
                <pt idx="30">
                  <v>-22.04633655486453</v>
                </pt>
                <pt idx="31">
                  <v>-18.42702577877486</v>
                </pt>
                <pt idx="32">
                  <v>-13.96512840852058</v>
                </pt>
                <pt idx="33">
                  <v>-8.796216937867868</v>
                </pt>
                <pt idx="34">
                  <v>-3.077346126257083</v>
                </pt>
                <pt idx="35">
                  <v>3.01771903058927</v>
                </pt>
                <pt idx="36">
                  <v>9.303783062132142</v>
                </pt>
              </numCache>
            </numRef>
          </yVal>
          <smooth val="1"/>
        </ser>
        <ser>
          <idx val="8"/>
          <order val="4"/>
          <tx>
            <strRef>
              <f>[2]抖动计算!$AY$19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[2]抖动计算!$AY$21:$AY$57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[2]抖动计算!$AZ$21:$AZ$57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9"/>
          <order val="5"/>
          <tx>
            <strRef>
              <f>[2]抖动计算!$BA$19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[2]抖动计算!$BA$21:$BA$57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[2]抖动计算!$BB$21:$BB$57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0"/>
          <order val="6"/>
          <tx>
            <strRef>
              <f>[2]抖动计算!$BC$19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[2]抖动计算!$BC$21:$BC$57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[2]抖动计算!$BD$21:$BD$57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1"/>
          <order val="7"/>
          <tx>
            <strRef>
              <f>[2]抖动计算!$BE$19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[2]抖动计算!$BE$21:$BE$57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[2]抖动计算!$BF$21:$BF$57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2"/>
          <order val="8"/>
          <tx>
            <strRef>
              <f>[2]抖动计算!$BG$19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[2]抖动计算!$BG$21:$BG$57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[2]抖动计算!$BH$21:$BH$57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3"/>
          <order val="9"/>
          <tx>
            <strRef>
              <f>[2]抖动计算!$BI$19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[2]抖动计算!$BI$21:$BI$57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[2]抖动计算!$BJ$21:$BJ$57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4"/>
          <order val="10"/>
          <tx>
            <strRef>
              <f>[2]对齐度计算!$BK$1</f>
              <strCache>
                <ptCount val="1"/>
                <pt idx="0">
                  <v>张紧器头部</v>
                </pt>
              </strCache>
            </strRef>
          </tx>
          <spPr>
            <a:ln w="9525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[2]对齐度计算!$BK$4:$BK$40</f>
              <numCache>
                <formatCode>General</formatCode>
                <ptCount val="37"/>
                <pt idx="0">
                  <v>140</v>
                </pt>
                <pt idx="1">
                  <v>139.6961550602442</v>
                </pt>
                <pt idx="2">
                  <v>138.7938524157182</v>
                </pt>
                <pt idx="3">
                  <v>137.3205080756888</v>
                </pt>
                <pt idx="4">
                  <v>135.3208888623795</v>
                </pt>
                <pt idx="5">
                  <v>132.8557521937308</v>
                </pt>
                <pt idx="6">
                  <v>130</v>
                </pt>
                <pt idx="7">
                  <v>126.8404028665134</v>
                </pt>
                <pt idx="8">
                  <v>123.4729635533386</v>
                </pt>
                <pt idx="9">
                  <v>120</v>
                </pt>
                <pt idx="10">
                  <v>116.5270364466614</v>
                </pt>
                <pt idx="11">
                  <v>113.1595971334866</v>
                </pt>
                <pt idx="12">
                  <v>110</v>
                </pt>
                <pt idx="13">
                  <v>107.1442478062692</v>
                </pt>
                <pt idx="14">
                  <v>104.6791111376204</v>
                </pt>
                <pt idx="15">
                  <v>102.6794919243112</v>
                </pt>
                <pt idx="16">
                  <v>101.2061475842818</v>
                </pt>
                <pt idx="17">
                  <v>100.3038449397558</v>
                </pt>
                <pt idx="18">
                  <v>100</v>
                </pt>
                <pt idx="19">
                  <v>100.3038449397558</v>
                </pt>
                <pt idx="20">
                  <v>101.2061475842818</v>
                </pt>
                <pt idx="21">
                  <v>102.6794919243112</v>
                </pt>
                <pt idx="22">
                  <v>104.6791111376204</v>
                </pt>
                <pt idx="23">
                  <v>107.1442478062692</v>
                </pt>
                <pt idx="24">
                  <v>110</v>
                </pt>
                <pt idx="25">
                  <v>113.1595971334866</v>
                </pt>
                <pt idx="26">
                  <v>116.5270364466614</v>
                </pt>
                <pt idx="27">
                  <v>120</v>
                </pt>
                <pt idx="28">
                  <v>123.4729635533386</v>
                </pt>
                <pt idx="29">
                  <v>126.8404028665134</v>
                </pt>
                <pt idx="30">
                  <v>130</v>
                </pt>
                <pt idx="31">
                  <v>132.8557521937308</v>
                </pt>
                <pt idx="32">
                  <v>135.3208888623795</v>
                </pt>
                <pt idx="33">
                  <v>137.3205080756888</v>
                </pt>
                <pt idx="34">
                  <v>138.7938524157182</v>
                </pt>
                <pt idx="35">
                  <v>139.6961550602442</v>
                </pt>
                <pt idx="36">
                  <v>140</v>
                </pt>
              </numCache>
            </numRef>
          </xVal>
          <yVal>
            <numRef>
              <f>[2]对齐度计算!$BL$4:$BL$40</f>
              <numCache>
                <formatCode>General</formatCode>
                <ptCount val="37"/>
                <pt idx="0">
                  <v>20</v>
                </pt>
                <pt idx="1">
                  <v>23.47296355333861</v>
                </pt>
                <pt idx="2">
                  <v>26.84040286651337</v>
                </pt>
                <pt idx="3">
                  <v>30</v>
                </pt>
                <pt idx="4">
                  <v>32.85575219373079</v>
                </pt>
                <pt idx="5">
                  <v>35.32088886237956</v>
                </pt>
                <pt idx="6">
                  <v>37.32050807568877</v>
                </pt>
                <pt idx="7">
                  <v>38.79385241571816</v>
                </pt>
                <pt idx="8">
                  <v>39.69615506024416</v>
                </pt>
                <pt idx="9">
                  <v>40</v>
                </pt>
                <pt idx="10">
                  <v>39.69615506024416</v>
                </pt>
                <pt idx="11">
                  <v>38.79385241571817</v>
                </pt>
                <pt idx="12">
                  <v>37.32050807568878</v>
                </pt>
                <pt idx="13">
                  <v>35.32088886237956</v>
                </pt>
                <pt idx="14">
                  <v>32.85575219373079</v>
                </pt>
                <pt idx="15">
                  <v>30</v>
                </pt>
                <pt idx="16">
                  <v>26.84040286651338</v>
                </pt>
                <pt idx="17">
                  <v>23.47296355333862</v>
                </pt>
                <pt idx="18">
                  <v>20</v>
                </pt>
                <pt idx="19">
                  <v>16.52703644666139</v>
                </pt>
                <pt idx="20">
                  <v>13.15959713348663</v>
                </pt>
                <pt idx="21">
                  <v>9.999999999999998</v>
                </pt>
                <pt idx="22">
                  <v>7.144247806269215</v>
                </pt>
                <pt idx="23">
                  <v>4.679111137620442</v>
                </pt>
                <pt idx="24">
                  <v>2.679491924311233</v>
                </pt>
                <pt idx="25">
                  <v>1.206147584281837</v>
                </pt>
                <pt idx="26">
                  <v>0.3038449397558409</v>
                </pt>
                <pt idx="27">
                  <v>0</v>
                </pt>
                <pt idx="28">
                  <v>0.3038449397558374</v>
                </pt>
                <pt idx="29">
                  <v>1.206147584281833</v>
                </pt>
                <pt idx="30">
                  <v>2.679491924311229</v>
                </pt>
                <pt idx="31">
                  <v>4.679111137620438</v>
                </pt>
                <pt idx="32">
                  <v>7.144247806269208</v>
                </pt>
                <pt idx="33">
                  <v>9.999999999999991</v>
                </pt>
                <pt idx="34">
                  <v>13.15959713348661</v>
                </pt>
                <pt idx="35">
                  <v>16.52703644666139</v>
                </pt>
                <pt idx="36">
                  <v>20</v>
                </pt>
              </numCache>
            </numRef>
          </yVal>
          <smooth val="1"/>
        </ser>
        <ser>
          <idx val="15"/>
          <order val="11"/>
          <tx>
            <v>张紧器臂</v>
          </tx>
          <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dPt>
          <xVal>
            <numRef>
              <f>([2]抖动计算!$A$3,[2]抖动计算!$BG$16)</f>
              <numCache>
                <formatCode>General</formatCode>
                <ptCount val="2"/>
                <pt idx="0">
                  <v>120</v>
                </pt>
                <pt idx="1">
                  <v>170.3649664272505</v>
                </pt>
              </numCache>
            </numRef>
          </xVal>
          <yVal>
            <numRef>
              <f>([2]抖动计算!$B$3,[2]抖动计算!$BH$16)</f>
              <numCache>
                <formatCode>General</formatCode>
                <ptCount val="2"/>
                <pt idx="0">
                  <v>20</v>
                </pt>
                <pt idx="1">
                  <v>9.303783062132151</v>
                </pt>
              </numCache>
            </numRef>
          </yVal>
          <smooth val="1"/>
        </ser>
        <ser>
          <idx val="16"/>
          <order val="12"/>
          <tx>
            <strRef>
              <f>[2]抖动计算!$B$10</f>
              <strCache>
                <ptCount val="1"/>
                <pt idx="0">
                  <v>CRK-ALT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  <a:headEnd w="lg" len="lg"/>
              <a:tailEnd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  <a:tailEnd w="lg" len="lg"/>
              </a:ln>
            </spPr>
          </dPt>
          <xVal>
            <numRef>
              <f>([2]抖动计算!$AY$61,[2]抖动计算!$AW$62)</f>
              <numCache>
                <formatCode>General</formatCode>
                <ptCount val="2"/>
                <pt idx="0">
                  <v>-7.933082074016857</v>
                </pt>
                <pt idx="1">
                  <v>246.8834320423505</v>
                </pt>
              </numCache>
            </numRef>
          </xVal>
          <yVal>
            <numRef>
              <f>([2]抖动计算!$AZ$61,[2]抖动计算!$AX$62)</f>
              <numCache>
                <formatCode>General</formatCode>
                <ptCount val="2"/>
                <pt idx="0">
                  <v>-97.67838148130278</v>
                </pt>
                <pt idx="1">
                  <v>-118.3736498676547</v>
                </pt>
              </numCache>
            </numRef>
          </yVal>
          <smooth val="1"/>
        </ser>
        <ser>
          <idx val="17"/>
          <order val="13"/>
          <tx>
            <strRef>
              <f>[2]抖动计算!$B$11</f>
              <strCache>
                <ptCount val="1"/>
                <pt idx="0">
                  <v>ALT-AC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([2]抖动计算!$AY$62,[2]抖动计算!$AW$63)</f>
              <numCache>
                <formatCode>General</formatCode>
                <ptCount val="2"/>
                <pt idx="0">
                  <v>287.9665850326021</v>
                </pt>
                <pt idx="1">
                  <v>323.2241236837849</v>
                </pt>
              </numCache>
            </numRef>
          </xVal>
          <yVal>
            <numRef>
              <f>([2]抖动计算!$AZ$62,[2]抖动计算!$AX$63)</f>
              <numCache>
                <formatCode>General</formatCode>
                <ptCount val="2"/>
                <pt idx="0">
                  <v>-86.38658132040865</v>
                </pt>
                <pt idx="1">
                  <v>123.2104271703147</v>
                </pt>
              </numCache>
            </numRef>
          </yVal>
          <smooth val="1"/>
        </ser>
        <ser>
          <idx val="18"/>
          <order val="14"/>
          <tx>
            <strRef>
              <f>[2]抖动计算!$B$12</f>
              <strCache>
                <ptCount val="1"/>
                <pt idx="0">
                  <v>AC-TEN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([2]抖动计算!$AY$63,[2]抖动计算!$AW$64)</f>
              <numCache>
                <formatCode>General</formatCode>
                <ptCount val="2"/>
                <pt idx="0">
                  <v>212.0526943825847</v>
                </pt>
                <pt idx="1">
                  <v>206.5366467201258</v>
                </pt>
              </numCache>
            </numRef>
          </xVal>
          <yVal>
            <numRef>
              <f>([2]抖动计算!$AZ$63,[2]抖动计算!$AX$64)</f>
              <numCache>
                <formatCode>General</formatCode>
                <ptCount val="2"/>
                <pt idx="0">
                  <v>134.9287845008432</v>
                </pt>
                <pt idx="1">
                  <v>7.872159930853971</v>
                </pt>
              </numCache>
            </numRef>
          </yVal>
          <smooth val="1"/>
        </ser>
        <ser>
          <idx val="19"/>
          <order val="15"/>
          <tx>
            <strRef>
              <f>[2]抖动计算!$B$13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([2]抖动计算!$AY$64,[2]抖动计算!$AW$65)</f>
              <numCache>
                <formatCode>General</formatCode>
                <ptCount val="2"/>
                <pt idx="0">
                  <v>143.153253897892</v>
                </pt>
                <pt idx="1">
                  <v>143.153253897892</v>
                </pt>
              </numCache>
            </numRef>
          </xVal>
          <yVal>
            <numRef>
              <f>([2]抖动计算!$AZ$64,[2]抖动计算!$AX$65)</f>
              <numCache>
                <formatCode>General</formatCode>
                <ptCount val="2"/>
                <pt idx="0">
                  <v>-14.57010856071714</v>
                </pt>
                <pt idx="1">
                  <v>-14.57010856071714</v>
                </pt>
              </numCache>
            </numRef>
          </yVal>
          <smooth val="1"/>
        </ser>
        <ser>
          <idx val="20"/>
          <order val="16"/>
          <tx>
            <strRef>
              <f>[2]抖动计算!$B$14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([2]抖动计算!$AY$65,[2]抖动计算!$AW$66)</f>
              <numCache>
                <formatCode>General</formatCode>
                <ptCount val="2"/>
                <pt idx="0">
                  <v>143.153253897892</v>
                </pt>
                <pt idx="1">
                  <v>143.153253897892</v>
                </pt>
              </numCache>
            </numRef>
          </xVal>
          <yVal>
            <numRef>
              <f>([2]抖动计算!$AZ$65,[2]抖动计算!$AX$66)</f>
              <numCache>
                <formatCode>General</formatCode>
                <ptCount val="2"/>
                <pt idx="0">
                  <v>-14.57010856071714</v>
                </pt>
                <pt idx="1">
                  <v>-14.57010856071714</v>
                </pt>
              </numCache>
            </numRef>
          </yVal>
          <smooth val="1"/>
        </ser>
        <ser>
          <idx val="21"/>
          <order val="17"/>
          <tx>
            <strRef>
              <f>[2]抖动计算!$B$15</f>
              <strCache>
                <ptCount val="1"/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  <a:headEnd type="triangle"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</a:ln>
            </spPr>
          </dPt>
          <xVal>
            <numRef>
              <f>([2]抖动计算!$AY$66,[2]抖动计算!$AW$67)</f>
              <numCache>
                <formatCode>General</formatCode>
                <ptCount val="2"/>
                <pt idx="0">
                  <v>143.153253897892</v>
                </pt>
                <pt idx="1">
                  <v>143.153253897892</v>
                </pt>
              </numCache>
            </numRef>
          </xVal>
          <yVal>
            <numRef>
              <f>([2]抖动计算!$AZ$66,[2]抖动计算!$AX$67)</f>
              <numCache>
                <formatCode>General</formatCode>
                <ptCount val="2"/>
                <pt idx="0">
                  <v>-14.57010856071714</v>
                </pt>
                <pt idx="1">
                  <v>-14.57010856071714</v>
                </pt>
              </numCache>
            </numRef>
          </yVal>
          <smooth val="1"/>
        </ser>
        <ser>
          <idx val="22"/>
          <order val="18"/>
          <tx>
            <strRef>
              <f>[2]抖动计算!$B$16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type="triangle"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</a:ln>
            </spPr>
          </dPt>
          <xVal>
            <numRef>
              <f>([2]抖动计算!$AY$67,[2]抖动计算!$AW$68)</f>
              <numCache>
                <formatCode>General</formatCode>
                <ptCount val="2"/>
                <pt idx="0">
                  <v>143.153253897892</v>
                </pt>
                <pt idx="1">
                  <v>143.153253897892</v>
                </pt>
              </numCache>
            </numRef>
          </xVal>
          <yVal>
            <numRef>
              <f>([2]抖动计算!$AZ$67,[2]抖动计算!$AX$68)</f>
              <numCache>
                <formatCode>General</formatCode>
                <ptCount val="2"/>
                <pt idx="0">
                  <v>-14.57010856071714</v>
                </pt>
                <pt idx="1">
                  <v>-14.57010856071714</v>
                </pt>
              </numCache>
            </numRef>
          </yVal>
          <smooth val="1"/>
        </ser>
        <ser>
          <idx val="23"/>
          <order val="19"/>
          <tx>
            <strRef>
              <f>[2]抖动计算!$B$16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([2]抖动计算!$AY$68,[2]抖动计算!$AW$69)</f>
              <numCache>
                <formatCode>General</formatCode>
                <ptCount val="2"/>
                <pt idx="0">
                  <v>143.153253897892</v>
                </pt>
                <pt idx="1">
                  <v>143.153253897892</v>
                </pt>
              </numCache>
            </numRef>
          </xVal>
          <yVal>
            <numRef>
              <f>([2]抖动计算!$AZ$68,[2]抖动计算!$AX$69)</f>
              <numCache>
                <formatCode>General</formatCode>
                <ptCount val="2"/>
                <pt idx="0">
                  <v>-14.57010856071714</v>
                </pt>
                <pt idx="1">
                  <v>-14.57010856071714</v>
                </pt>
              </numCache>
            </numRef>
          </yVal>
          <smooth val="1"/>
        </ser>
        <ser>
          <idx val="24"/>
          <order val="20"/>
          <tx>
            <strRef>
              <f>[2]抖动计算!$B$17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([2]抖动计算!$AY$69,[2]抖动计算!$AW$70)</f>
              <numCache>
                <formatCode>General</formatCode>
                <ptCount val="2"/>
                <pt idx="0">
                  <v>143.153253897892</v>
                </pt>
                <pt idx="1">
                  <v>143.153253897892</v>
                </pt>
              </numCache>
            </numRef>
          </xVal>
          <yVal>
            <numRef>
              <f>([2]抖动计算!$AZ$69,[2]抖动计算!$AX$70)</f>
              <numCache>
                <formatCode>General</formatCode>
                <ptCount val="2"/>
                <pt idx="0">
                  <v>-14.57010856071714</v>
                </pt>
                <pt idx="1">
                  <v>-14.57010856071714</v>
                </pt>
              </numCache>
            </numRef>
          </yVal>
          <smooth val="1"/>
        </ser>
        <ser>
          <idx val="25"/>
          <order val="21"/>
          <tx>
            <strRef>
              <f>[2]抖动计算!$B$19</f>
              <strCache>
                <ptCount val="1"/>
                <pt idx="0">
                  <v>TEN-CRK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([2]抖动计算!$AY$70,[2]抖动计算!$AW$61)</f>
              <numCache>
                <formatCode>General</formatCode>
                <ptCount val="2"/>
                <pt idx="0">
                  <v>143.153253897892</v>
                </pt>
                <pt idx="1">
                  <v>73.66706706842909</v>
                </pt>
              </numCache>
            </numRef>
          </xVal>
          <yVal>
            <numRef>
              <f>([2]抖动计算!$AZ$70,[2]抖动计算!$AX$61)</f>
              <numCache>
                <formatCode>General</formatCode>
                <ptCount val="2"/>
                <pt idx="0">
                  <v>-14.57010856071714</v>
                </pt>
                <pt idx="1">
                  <v>64.63097732152569</v>
                </pt>
              </numCache>
            </numRef>
          </yVal>
          <smooth val="1"/>
        </ser>
        <ser>
          <idx val="26"/>
          <order val="22"/>
          <tx>
            <strRef>
              <f>[2]抖动计算!$AQ$61</f>
              <strCache>
                <ptCount val="1"/>
                <pt idx="0">
                  <v>CRK</v>
                </pt>
              </strCache>
            </strRef>
          </tx>
          <spPr>
            <a:ln w="1905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800" b="0" i="0" strike="noStrike" kern="1200" baseline="0">
                      <a:solidFill>
                        <a:schemeClr val="accent1"/>
                      </a:solidFill>
                      <a:latin typeface="+mn-lt"/>
                      <a:ea typeface="+mj-ea"/>
                      <a:cs typeface="+mn-cs"/>
                    </a:defRPr>
                  </a:pPr>
                  <a:r>
                    <a:t>None</a:t>
                  </a:r>
                  <a:endParaRPr lang="zh-CN" altLang="en-US"/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j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[2]抖动计算!$AR$61</f>
              <numCache>
                <formatCode>General</formatCode>
                <ptCount val="1"/>
                <pt idx="0">
                  <v>0</v>
                </pt>
              </numCache>
            </numRef>
          </xVal>
          <yVal>
            <numRef>
              <f>[2]抖动计算!$AS$61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27"/>
          <order val="23"/>
          <tx>
            <strRef>
              <f>[2]抖动计算!$AQ$62</f>
              <strCache>
                <ptCount val="1"/>
                <pt idx="0">
                  <v>ALT</v>
                </pt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[2]抖动计算!$AR$62</f>
              <numCache>
                <formatCode>General</formatCode>
                <ptCount val="1"/>
                <pt idx="0">
                  <v>250</v>
                </pt>
              </numCache>
            </numRef>
          </xVal>
          <yVal>
            <numRef>
              <f>[2]抖动计算!$AS$62</f>
              <numCache>
                <formatCode>General</formatCode>
                <ptCount val="1"/>
                <pt idx="0">
                  <v>-80</v>
                </pt>
              </numCache>
            </numRef>
          </yVal>
          <smooth val="1"/>
        </ser>
        <ser>
          <idx val="28"/>
          <order val="24"/>
          <tx>
            <strRef>
              <f>[2]抖动计算!$AQ$63</f>
              <strCache>
                <ptCount val="1"/>
                <pt idx="0">
                  <v>AC</v>
                </pt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[2]抖动计算!$AR$63</f>
              <numCache>
                <formatCode>General</formatCode>
                <ptCount val="1"/>
                <pt idx="0">
                  <v>268</v>
                </pt>
              </numCache>
            </numRef>
          </xVal>
          <yVal>
            <numRef>
              <f>[2]抖动计算!$AS$63</f>
              <numCache>
                <formatCode>General</formatCode>
                <ptCount val="1"/>
                <pt idx="0">
                  <v>132.5</v>
                </pt>
              </numCache>
            </numRef>
          </yVal>
          <smooth val="1"/>
        </ser>
        <ser>
          <idx val="29"/>
          <order val="25"/>
          <tx>
            <strRef>
              <f>[2]抖动计算!$AQ$64</f>
              <strCache>
                <ptCount val="1"/>
                <pt idx="0">
                  <v>TEN</v>
                </pt>
              </strCache>
            </strRef>
          </tx>
          <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[2]抖动计算!$AR$64</f>
              <numCache>
                <formatCode>General</formatCode>
                <ptCount val="1"/>
                <pt idx="0">
                  <v>170.3649664272505</v>
                </pt>
              </numCache>
            </numRef>
          </xVal>
          <yVal>
            <numRef>
              <f>[2]抖动计算!$AS$64</f>
              <numCache>
                <formatCode>General</formatCode>
                <ptCount val="1"/>
                <pt idx="0">
                  <v>9.303783062132151</v>
                </pt>
              </numCache>
            </numRef>
          </yVal>
          <smooth val="1"/>
        </ser>
        <ser>
          <idx val="30"/>
          <order val="26"/>
          <tx>
            <strRef>
              <f>[2]抖动计算!$AQ$65</f>
              <strCache>
                <ptCount val="1"/>
              </strCache>
            </strRef>
          </tx>
          <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[2]抖动计算!$AR$65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[2]抖动计算!$AS$65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1"/>
          <order val="27"/>
          <tx>
            <strRef>
              <f>[2]抖动计算!$AQ$66</f>
              <strCache>
                <ptCount val="1"/>
              </strCache>
            </strRef>
          </tx>
          <spPr>
            <a:ln w="0" cap="sq">
              <a:solidFill>
                <a:schemeClr val="bg1">
                  <a:alpha val="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spPr>
                <a:noFill/>
                <a:ln>
                  <a:solidFill>
                    <a:schemeClr val="tx1">
                      <a:alpha val="0"/>
                      <a:lumMod val="50000"/>
                      <a:lumOff val="50000"/>
                    </a:schemeClr>
                  </a:solidFill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zh-CN"/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solidFill>
                <a:schemeClr val="bg1"/>
              </a:solidFill>
              <a:ln>
                <a:solidFill>
                  <a:schemeClr val="tx1">
                    <a:alpha val="0"/>
                    <a:lumMod val="50000"/>
                    <a:lumOff val="50000"/>
                  </a:schemeClr>
                </a:solidFill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[2]抖动计算!$AR$66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[2]抖动计算!$AS$66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0"/>
        </ser>
        <ser>
          <idx val="32"/>
          <order val="28"/>
          <tx>
            <strRef>
              <f>[2]抖动计算!$AQ$67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[2]抖动计算!$AR$67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[2]抖动计算!$AS$67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3"/>
          <order val="29"/>
          <tx>
            <strRef>
              <f>[2]抖动计算!$AQ$68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[2]抖动计算!$AR$68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[2]抖动计算!$AS$68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4"/>
          <order val="30"/>
          <tx>
            <strRef>
              <f>[2]抖动计算!$AQ$69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[2]抖动计算!$AR$69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[2]抖动计算!$AS$69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5"/>
          <order val="31"/>
          <tx>
            <strRef>
              <f>[2]抖动计算!$AQ$70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[2]抖动计算!$AR$70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[2]抖动计算!$AS$70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6"/>
          <order val="32"/>
          <tx>
            <v>短皮带前带段抖动</v>
          </tx>
          <spPr>
            <a:ln w="19050" cap="rnd">
              <a:solidFill>
                <a:schemeClr val="accent5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rgbClr val="FF0000"/>
                </a:solidFill>
                <a:prstDash val="dash"/>
                <a:round/>
              </a:ln>
            </spPr>
          </dPt>
          <xVal>
            <numRef>
              <f>([2]抖动计算!$BD$4,[2]抖动计算!$AU$12)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xVal>
          <yVal>
            <numRef>
              <f>([2]抖动计算!$BE$4,[2]抖动计算!$AV$12)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yVal>
          <smooth val="1"/>
        </ser>
        <ser>
          <idx val="37"/>
          <order val="33"/>
          <tx>
            <v>短皮带后带段抖动</v>
          </tx>
          <spPr>
            <a:ln w="9525" cap="rnd">
              <a:solidFill>
                <a:schemeClr val="accent5">
                  <a:lumMod val="60000"/>
                </a:schemeClr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rgbClr val="FF0000"/>
                </a:solidFill>
                <a:prstDash val="dash"/>
                <a:round/>
              </a:ln>
            </spPr>
          </dPt>
          <xVal>
            <numRef>
              <f>([2]抖动计算!$BD$4,[2]抖动计算!$BB$12)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xVal>
          <yVal>
            <numRef>
              <f>([2]抖动计算!$BE$4,[2]抖动计算!$BC$12)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9373440"/>
        <axId val="209399808"/>
      </scatterChart>
      <valAx>
        <axId val="209373440"/>
        <scaling>
          <orientation val="minMax"/>
          <max val="500"/>
          <min val="-30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zh-CN"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09399808"/>
        <crossesAt val="-1000"/>
        <crossBetween val="midCat"/>
      </valAx>
      <valAx>
        <axId val="209399808"/>
        <scaling>
          <orientation val="minMax"/>
          <max val="400"/>
          <min val="-2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zh-CN"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09373440"/>
        <crossesAt val="-500"/>
        <crossBetween val="midCat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070381520662623"/>
          <y val="0.02615384087344218"/>
          <w val="0.8535908229627404"/>
          <h val="0.8671021063795464"/>
        </manualLayout>
      </layout>
      <scatterChart>
        <scatterStyle val="smoothMarker"/>
        <varyColors val="0"/>
        <ser>
          <idx val="4"/>
          <order val="0"/>
          <tx>
            <strRef>
              <f>[2]抖动计算!$BK$19</f>
              <strCache>
                <ptCount val="1"/>
                <pt idx="0">
                  <v>CRK</v>
                </pt>
              </strCache>
            </strRef>
          </tx>
          <spPr>
            <a:ln w="9525" cap="rnd">
              <a:solidFill>
                <a:schemeClr val="tx2">
                  <a:lumMod val="60000"/>
                  <a:lumOff val="40000"/>
                </a:schemeClr>
              </a:solidFill>
              <a:prstDash val="solid"/>
              <a:round/>
              <a:tail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[2]抖动计算!$BK$21:$BK$57</f>
              <numCache>
                <formatCode>General</formatCode>
                <ptCount val="37"/>
                <pt idx="0">
                  <v>98</v>
                </pt>
                <pt idx="1">
                  <v>96.51115979519639</v>
                </pt>
                <pt idx="2">
                  <v>92.08987683701902</v>
                </pt>
                <pt idx="3">
                  <v>84.87048957087499</v>
                </pt>
                <pt idx="4">
                  <v>75.07235542565985</v>
                </pt>
                <pt idx="5">
                  <v>62.99318574928085</v>
                </pt>
                <pt idx="6">
                  <v>49.00000000000001</v>
                </pt>
                <pt idx="7">
                  <v>33.51797404591554</v>
                </pt>
                <pt idx="8">
                  <v>17.01752141135918</v>
                </pt>
                <pt idx="9">
                  <v>6.003227429052238e-15</v>
                </pt>
                <pt idx="10">
                  <v>-17.01752141135917</v>
                </pt>
                <pt idx="11">
                  <v>-33.51797404591554</v>
                </pt>
                <pt idx="12">
                  <v>-48.99999999999998</v>
                </pt>
                <pt idx="13">
                  <v>-62.99318574928085</v>
                </pt>
                <pt idx="14">
                  <v>-75.07235542565984</v>
                </pt>
                <pt idx="15">
                  <v>-84.87048957087499</v>
                </pt>
                <pt idx="16">
                  <v>-92.08987683701902</v>
                </pt>
                <pt idx="17">
                  <v>-96.51115979519639</v>
                </pt>
                <pt idx="18">
                  <v>-98</v>
                </pt>
                <pt idx="19">
                  <v>-96.51115979519639</v>
                </pt>
                <pt idx="20">
                  <v>-92.08987683701902</v>
                </pt>
                <pt idx="21">
                  <v>-84.87048957087498</v>
                </pt>
                <pt idx="22">
                  <v>-75.07235542565985</v>
                </pt>
                <pt idx="23">
                  <v>-62.99318574928087</v>
                </pt>
                <pt idx="24">
                  <v>-49.00000000000004</v>
                </pt>
                <pt idx="25">
                  <v>-33.5179740459156</v>
                </pt>
                <pt idx="26">
                  <v>-17.01752141135917</v>
                </pt>
                <pt idx="27">
                  <v>-1.800968228715671e-14</v>
                </pt>
                <pt idx="28">
                  <v>17.01752141135914</v>
                </pt>
                <pt idx="29">
                  <v>33.51797404591556</v>
                </pt>
                <pt idx="30">
                  <v>49.00000000000001</v>
                </pt>
                <pt idx="31">
                  <v>62.99318574928085</v>
                </pt>
                <pt idx="32">
                  <v>75.07235542565982</v>
                </pt>
                <pt idx="33">
                  <v>84.87048957087497</v>
                </pt>
                <pt idx="34">
                  <v>92.08987683701899</v>
                </pt>
                <pt idx="35">
                  <v>96.51115979519639</v>
                </pt>
                <pt idx="36">
                  <v>98</v>
                </pt>
              </numCache>
            </numRef>
          </xVal>
          <yVal>
            <numRef>
              <f>[2]抖动计算!$BL$21:$BL$57</f>
              <numCache>
                <formatCode>General</formatCode>
                <ptCount val="37"/>
                <pt idx="0">
                  <v>0</v>
                </pt>
                <pt idx="1">
                  <v>17.01752141135917</v>
                </pt>
                <pt idx="2">
                  <v>33.51797404591554</v>
                </pt>
                <pt idx="3">
                  <v>48.99999999999999</v>
                </pt>
                <pt idx="4">
                  <v>62.99318574928085</v>
                </pt>
                <pt idx="5">
                  <v>75.07235542565985</v>
                </pt>
                <pt idx="6">
                  <v>84.87048957087498</v>
                </pt>
                <pt idx="7">
                  <v>92.08987683701902</v>
                </pt>
                <pt idx="8">
                  <v>96.51115979519639</v>
                </pt>
                <pt idx="9">
                  <v>98</v>
                </pt>
                <pt idx="10">
                  <v>96.51115979519639</v>
                </pt>
                <pt idx="11">
                  <v>92.08987683701902</v>
                </pt>
                <pt idx="12">
                  <v>84.87048957087499</v>
                </pt>
                <pt idx="13">
                  <v>75.07235542565985</v>
                </pt>
                <pt idx="14">
                  <v>62.99318574928087</v>
                </pt>
                <pt idx="15">
                  <v>48.99999999999999</v>
                </pt>
                <pt idx="16">
                  <v>33.51797404591555</v>
                </pt>
                <pt idx="17">
                  <v>17.01752141135921</v>
                </pt>
                <pt idx="18">
                  <v>1.200645485810448e-14</v>
                </pt>
                <pt idx="19">
                  <v>-17.01752141135919</v>
                </pt>
                <pt idx="20">
                  <v>-33.51797404591553</v>
                </pt>
                <pt idx="21">
                  <v>-49.00000000000001</v>
                </pt>
                <pt idx="22">
                  <v>-62.99318574928085</v>
                </pt>
                <pt idx="23">
                  <v>-75.07235542565984</v>
                </pt>
                <pt idx="24">
                  <v>-84.87048957087497</v>
                </pt>
                <pt idx="25">
                  <v>-92.08987683701901</v>
                </pt>
                <pt idx="26">
                  <v>-96.51115979519639</v>
                </pt>
                <pt idx="27">
                  <v>-98</v>
                </pt>
                <pt idx="28">
                  <v>-96.51115979519639</v>
                </pt>
                <pt idx="29">
                  <v>-92.08987683701902</v>
                </pt>
                <pt idx="30">
                  <v>-84.87048957087498</v>
                </pt>
                <pt idx="31">
                  <v>-75.07235542565985</v>
                </pt>
                <pt idx="32">
                  <v>-62.99318574928088</v>
                </pt>
                <pt idx="33">
                  <v>-49.00000000000004</v>
                </pt>
                <pt idx="34">
                  <v>-33.51797404591561</v>
                </pt>
                <pt idx="35">
                  <v>-17.01752141135918</v>
                </pt>
                <pt idx="36">
                  <v>-2.401290971620895e-14</v>
                </pt>
              </numCache>
            </numRef>
          </yVal>
          <smooth val="1"/>
        </ser>
        <ser>
          <idx val="5"/>
          <order val="1"/>
          <tx>
            <strRef>
              <f>[2]抖动计算!$BM$19</f>
              <strCache>
                <ptCount val="1"/>
                <pt idx="0">
                  <v>ALT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[2]抖动计算!$BM$21:$BM$57</f>
              <numCache>
                <formatCode>General</formatCode>
                <ptCount val="37"/>
                <pt idx="0">
                  <v>288.5</v>
                </pt>
                <pt idx="1">
                  <v>287.91509849097</v>
                </pt>
                <pt idx="2">
                  <v>286.1781659002575</v>
                </pt>
                <pt idx="3">
                  <v>283.3419780457009</v>
                </pt>
                <pt idx="4">
                  <v>279.4927110600806</v>
                </pt>
                <pt idx="5">
                  <v>274.7473229729318</v>
                </pt>
                <pt idx="6">
                  <v>269.25</v>
                </pt>
                <pt idx="7">
                  <v>263.1677755180382</v>
                </pt>
                <pt idx="8">
                  <v>256.6854548401768</v>
                </pt>
                <pt idx="9">
                  <v>250</v>
                </pt>
                <pt idx="10">
                  <v>243.3145451598232</v>
                </pt>
                <pt idx="11">
                  <v>236.8322244819618</v>
                </pt>
                <pt idx="12">
                  <v>230.75</v>
                </pt>
                <pt idx="13">
                  <v>225.2526770270682</v>
                </pt>
                <pt idx="14">
                  <v>220.5072889399194</v>
                </pt>
                <pt idx="15">
                  <v>216.6580219542991</v>
                </pt>
                <pt idx="16">
                  <v>213.8218340997425</v>
                </pt>
                <pt idx="17">
                  <v>212.08490150903</v>
                </pt>
                <pt idx="18">
                  <v>211.5</v>
                </pt>
                <pt idx="19">
                  <v>212.08490150903</v>
                </pt>
                <pt idx="20">
                  <v>213.8218340997425</v>
                </pt>
                <pt idx="21">
                  <v>216.6580219542991</v>
                </pt>
                <pt idx="22">
                  <v>220.5072889399193</v>
                </pt>
                <pt idx="23">
                  <v>225.2526770270682</v>
                </pt>
                <pt idx="24">
                  <v>230.75</v>
                </pt>
                <pt idx="25">
                  <v>236.8322244819617</v>
                </pt>
                <pt idx="26">
                  <v>243.3145451598232</v>
                </pt>
                <pt idx="27">
                  <v>250</v>
                </pt>
                <pt idx="28">
                  <v>256.6854548401768</v>
                </pt>
                <pt idx="29">
                  <v>263.1677755180382</v>
                </pt>
                <pt idx="30">
                  <v>269.25</v>
                </pt>
                <pt idx="31">
                  <v>274.7473229729318</v>
                </pt>
                <pt idx="32">
                  <v>279.4927110600806</v>
                </pt>
                <pt idx="33">
                  <v>283.3419780457009</v>
                </pt>
                <pt idx="34">
                  <v>286.1781659002575</v>
                </pt>
                <pt idx="35">
                  <v>287.91509849097</v>
                </pt>
                <pt idx="36">
                  <v>288.5</v>
                </pt>
              </numCache>
            </numRef>
          </xVal>
          <yVal>
            <numRef>
              <f>[2]抖动计算!$BN$21:$BN$57</f>
              <numCache>
                <formatCode>General</formatCode>
                <ptCount val="37"/>
                <pt idx="0">
                  <v>-80</v>
                </pt>
                <pt idx="1">
                  <v>-73.31454515982318</v>
                </pt>
                <pt idx="2">
                  <v>-66.83222448196176</v>
                </pt>
                <pt idx="3">
                  <v>-60.75</v>
                </pt>
                <pt idx="4">
                  <v>-55.25267702706824</v>
                </pt>
                <pt idx="5">
                  <v>-50.50728893991935</v>
                </pt>
                <pt idx="6">
                  <v>-46.65802195429912</v>
                </pt>
                <pt idx="7">
                  <v>-43.82183409974253</v>
                </pt>
                <pt idx="8">
                  <v>-42.08490150902999</v>
                </pt>
                <pt idx="9">
                  <v>-41.5</v>
                </pt>
                <pt idx="10">
                  <v>-42.08490150902999</v>
                </pt>
                <pt idx="11">
                  <v>-43.82183409974252</v>
                </pt>
                <pt idx="12">
                  <v>-46.65802195429911</v>
                </pt>
                <pt idx="13">
                  <v>-50.50728893991935</v>
                </pt>
                <pt idx="14">
                  <v>-55.25267702706823</v>
                </pt>
                <pt idx="15">
                  <v>-60.75</v>
                </pt>
                <pt idx="16">
                  <v>-66.83222448196175</v>
                </pt>
                <pt idx="17">
                  <v>-73.31454515982317</v>
                </pt>
                <pt idx="18">
                  <v>-80</v>
                </pt>
                <pt idx="19">
                  <v>-86.68545484017682</v>
                </pt>
                <pt idx="20">
                  <v>-93.16777551803824</v>
                </pt>
                <pt idx="21">
                  <v>-99.25</v>
                </pt>
                <pt idx="22">
                  <v>-104.7473229729318</v>
                </pt>
                <pt idx="23">
                  <v>-109.4927110600807</v>
                </pt>
                <pt idx="24">
                  <v>-113.3419780457009</v>
                </pt>
                <pt idx="25">
                  <v>-116.1781659002575</v>
                </pt>
                <pt idx="26">
                  <v>-117.91509849097</v>
                </pt>
                <pt idx="27">
                  <v>-118.5</v>
                </pt>
                <pt idx="28">
                  <v>-117.91509849097</v>
                </pt>
                <pt idx="29">
                  <v>-116.1781659002575</v>
                </pt>
                <pt idx="30">
                  <v>-113.3419780457009</v>
                </pt>
                <pt idx="31">
                  <v>-109.4927110600807</v>
                </pt>
                <pt idx="32">
                  <v>-104.7473229729318</v>
                </pt>
                <pt idx="33">
                  <v>-99.25000000000001</v>
                </pt>
                <pt idx="34">
                  <v>-93.16777551803827</v>
                </pt>
                <pt idx="35">
                  <v>-86.68545484017682</v>
                </pt>
                <pt idx="36">
                  <v>-80.00000000000001</v>
                </pt>
              </numCache>
            </numRef>
          </yVal>
          <smooth val="1"/>
        </ser>
        <ser>
          <idx val="6"/>
          <order val="2"/>
          <tx>
            <strRef>
              <f>[2]抖动计算!$BO$19</f>
              <strCache>
                <ptCount val="1"/>
                <pt idx="0">
                  <v>AC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[2]抖动计算!$BO$21:$BO$57</f>
              <numCache>
                <formatCode>General</formatCode>
                <ptCount val="37"/>
                <pt idx="0">
                  <v>324</v>
                </pt>
                <pt idx="1">
                  <v>323.1492341686836</v>
                </pt>
                <pt idx="2">
                  <v>320.6227867640109</v>
                </pt>
                <pt idx="3">
                  <v>316.4974226119286</v>
                </pt>
                <pt idx="4">
                  <v>310.8984888146628</v>
                </pt>
                <pt idx="5">
                  <v>303.9961061424462</v>
                </pt>
                <pt idx="6">
                  <v>296</v>
                </pt>
                <pt idx="7">
                  <v>287.1531280262375</v>
                </pt>
                <pt idx="8">
                  <v>277.7242979493481</v>
                </pt>
                <pt idx="9">
                  <v>268</v>
                </pt>
                <pt idx="10">
                  <v>258.2757020506519</v>
                </pt>
                <pt idx="11">
                  <v>248.8468719737625</v>
                </pt>
                <pt idx="12">
                  <v>240</v>
                </pt>
                <pt idx="13">
                  <v>232.0038938575538</v>
                </pt>
                <pt idx="14">
                  <v>225.1015111853372</v>
                </pt>
                <pt idx="15">
                  <v>219.5025773880714</v>
                </pt>
                <pt idx="16">
                  <v>215.3772132359891</v>
                </pt>
                <pt idx="17">
                  <v>212.8507658313164</v>
                </pt>
                <pt idx="18">
                  <v>212</v>
                </pt>
                <pt idx="19">
                  <v>212.8507658313164</v>
                </pt>
                <pt idx="20">
                  <v>215.3772132359891</v>
                </pt>
                <pt idx="21">
                  <v>219.5025773880714</v>
                </pt>
                <pt idx="22">
                  <v>225.1015111853372</v>
                </pt>
                <pt idx="23">
                  <v>232.0038938575538</v>
                </pt>
                <pt idx="24">
                  <v>240</v>
                </pt>
                <pt idx="25">
                  <v>248.8468719737625</v>
                </pt>
                <pt idx="26">
                  <v>258.2757020506519</v>
                </pt>
                <pt idx="27">
                  <v>268</v>
                </pt>
                <pt idx="28">
                  <v>277.7242979493481</v>
                </pt>
                <pt idx="29">
                  <v>287.1531280262375</v>
                </pt>
                <pt idx="30">
                  <v>296</v>
                </pt>
                <pt idx="31">
                  <v>303.9961061424462</v>
                </pt>
                <pt idx="32">
                  <v>310.8984888146628</v>
                </pt>
                <pt idx="33">
                  <v>316.4974226119285</v>
                </pt>
                <pt idx="34">
                  <v>320.6227867640109</v>
                </pt>
                <pt idx="35">
                  <v>323.1492341686836</v>
                </pt>
                <pt idx="36">
                  <v>324</v>
                </pt>
              </numCache>
            </numRef>
          </xVal>
          <yVal>
            <numRef>
              <f>[2]抖动计算!$BP$21:$BP$57</f>
              <numCache>
                <formatCode>General</formatCode>
                <ptCount val="37"/>
                <pt idx="0">
                  <v>132.5</v>
                </pt>
                <pt idx="1">
                  <v>142.2242979493481</v>
                </pt>
                <pt idx="2">
                  <v>151.6531280262375</v>
                </pt>
                <pt idx="3">
                  <v>160.5</v>
                </pt>
                <pt idx="4">
                  <v>168.4961061424462</v>
                </pt>
                <pt idx="5">
                  <v>175.3984888146628</v>
                </pt>
                <pt idx="6">
                  <v>180.9974226119286</v>
                </pt>
                <pt idx="7">
                  <v>185.1227867640109</v>
                </pt>
                <pt idx="8">
                  <v>187.6492341686836</v>
                </pt>
                <pt idx="9">
                  <v>188.5</v>
                </pt>
                <pt idx="10">
                  <v>187.6492341686836</v>
                </pt>
                <pt idx="11">
                  <v>185.1227867640109</v>
                </pt>
                <pt idx="12">
                  <v>180.9974226119286</v>
                </pt>
                <pt idx="13">
                  <v>175.3984888146628</v>
                </pt>
                <pt idx="14">
                  <v>168.4961061424462</v>
                </pt>
                <pt idx="15">
                  <v>160.5</v>
                </pt>
                <pt idx="16">
                  <v>151.6531280262375</v>
                </pt>
                <pt idx="17">
                  <v>142.2242979493481</v>
                </pt>
                <pt idx="18">
                  <v>132.5</v>
                </pt>
                <pt idx="19">
                  <v>122.7757020506519</v>
                </pt>
                <pt idx="20">
                  <v>113.3468719737625</v>
                </pt>
                <pt idx="21">
                  <v>104.5</v>
                </pt>
                <pt idx="22">
                  <v>96.50389385755381</v>
                </pt>
                <pt idx="23">
                  <v>89.60151118533724</v>
                </pt>
                <pt idx="24">
                  <v>84.00257738807144</v>
                </pt>
                <pt idx="25">
                  <v>79.87721323598913</v>
                </pt>
                <pt idx="26">
                  <v>77.35076583131635</v>
                </pt>
                <pt idx="27">
                  <v>76.5</v>
                </pt>
                <pt idx="28">
                  <v>77.35076583131635</v>
                </pt>
                <pt idx="29">
                  <v>79.87721323598913</v>
                </pt>
                <pt idx="30">
                  <v>84.00257738807144</v>
                </pt>
                <pt idx="31">
                  <v>89.60151118533722</v>
                </pt>
                <pt idx="32">
                  <v>96.50389385755378</v>
                </pt>
                <pt idx="33">
                  <v>104.5</v>
                </pt>
                <pt idx="34">
                  <v>113.3468719737625</v>
                </pt>
                <pt idx="35">
                  <v>122.7757020506519</v>
                </pt>
                <pt idx="36">
                  <v>132.5</v>
                </pt>
              </numCache>
            </numRef>
          </yVal>
          <smooth val="1"/>
        </ser>
        <ser>
          <idx val="7"/>
          <order val="3"/>
          <tx>
            <strRef>
              <f>[2]抖动计算!$BQ$19</f>
              <strCache>
                <ptCount val="1"/>
                <pt idx="0">
                  <v>TEN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[2]抖动计算!$BQ$21:$BQ$57</f>
              <numCache>
                <formatCode>General</formatCode>
                <ptCount val="37"/>
                <pt idx="0">
                  <v>204.6503803371032</v>
                </pt>
                <pt idx="1">
                  <v>204.1004209961452</v>
                </pt>
                <pt idx="2">
                  <v>202.4672532095531</v>
                </pt>
                <pt idx="3">
                  <v>199.8004999540999</v>
                </pt>
                <pt idx="4">
                  <v>196.1811891780102</v>
                </pt>
                <pt idx="5">
                  <v>191.719291807756</v>
                </pt>
                <pt idx="6">
                  <v>186.5503803371032</v>
                </pt>
                <pt idx="7">
                  <v>180.8315095254925</v>
                </pt>
                <pt idx="8">
                  <v>174.7364443686461</v>
                </pt>
                <pt idx="9">
                  <v>168.4503803371032</v>
                </pt>
                <pt idx="10">
                  <v>162.1643163055604</v>
                </pt>
                <pt idx="11">
                  <v>156.069251148714</v>
                </pt>
                <pt idx="12">
                  <v>150.3503803371032</v>
                </pt>
                <pt idx="13">
                  <v>145.1814688664505</v>
                </pt>
                <pt idx="14">
                  <v>140.7195714961962</v>
                </pt>
                <pt idx="15">
                  <v>137.1002607201065</v>
                </pt>
                <pt idx="16">
                  <v>134.4335074646534</v>
                </pt>
                <pt idx="17">
                  <v>132.8003396780613</v>
                </pt>
                <pt idx="18">
                  <v>132.2503803371033</v>
                </pt>
                <pt idx="19">
                  <v>132.8003396780613</v>
                </pt>
                <pt idx="20">
                  <v>134.4335074646534</v>
                </pt>
                <pt idx="21">
                  <v>137.1002607201066</v>
                </pt>
                <pt idx="22">
                  <v>140.7195714961962</v>
                </pt>
                <pt idx="23">
                  <v>145.1814688664505</v>
                </pt>
                <pt idx="24">
                  <v>150.3503803371032</v>
                </pt>
                <pt idx="25">
                  <v>156.069251148714</v>
                </pt>
                <pt idx="26">
                  <v>162.1643163055604</v>
                </pt>
                <pt idx="27">
                  <v>168.4503803371032</v>
                </pt>
                <pt idx="28">
                  <v>174.7364443686461</v>
                </pt>
                <pt idx="29">
                  <v>180.8315095254925</v>
                </pt>
                <pt idx="30">
                  <v>186.5503803371032</v>
                </pt>
                <pt idx="31">
                  <v>191.719291807756</v>
                </pt>
                <pt idx="32">
                  <v>196.1811891780102</v>
                </pt>
                <pt idx="33">
                  <v>199.8004999540999</v>
                </pt>
                <pt idx="34">
                  <v>202.4672532095531</v>
                </pt>
                <pt idx="35">
                  <v>204.1004209961452</v>
                </pt>
                <pt idx="36">
                  <v>204.6503803371032</v>
                </pt>
              </numCache>
            </numRef>
          </xVal>
          <yVal>
            <numRef>
              <f>[2]抖动计算!$BR$21:$BR$57</f>
              <numCache>
                <formatCode>General</formatCode>
                <ptCount val="37"/>
                <pt idx="0">
                  <v>2.575891839464582</v>
                </pt>
                <pt idx="1">
                  <v>8.86195587100746</v>
                </pt>
                <pt idx="2">
                  <v>14.95702102785379</v>
                </pt>
                <pt idx="3">
                  <v>20.67589183946458</v>
                </pt>
                <pt idx="4">
                  <v>25.8448033101173</v>
                </pt>
                <pt idx="5">
                  <v>30.30670068037159</v>
                </pt>
                <pt idx="6">
                  <v>33.92601145646126</v>
                </pt>
                <pt idx="7">
                  <v>36.59276471191446</v>
                </pt>
                <pt idx="8">
                  <v>38.22593249850652</v>
                </pt>
                <pt idx="9">
                  <v>38.77589183946458</v>
                </pt>
                <pt idx="10">
                  <v>38.22593249850652</v>
                </pt>
                <pt idx="11">
                  <v>36.59276471191447</v>
                </pt>
                <pt idx="12">
                  <v>33.92601145646127</v>
                </pt>
                <pt idx="13">
                  <v>30.30670068037159</v>
                </pt>
                <pt idx="14">
                  <v>25.84480331011731</v>
                </pt>
                <pt idx="15">
                  <v>20.67589183946458</v>
                </pt>
                <pt idx="16">
                  <v>14.9570210278538</v>
                </pt>
                <pt idx="17">
                  <v>8.861955871007474</v>
                </pt>
                <pt idx="18">
                  <v>2.575891839464586</v>
                </pt>
                <pt idx="19">
                  <v>-3.710172192078302</v>
                </pt>
                <pt idx="20">
                  <v>-9.805237348924624</v>
                </pt>
                <pt idx="21">
                  <v>-15.52410816053542</v>
                </pt>
                <pt idx="22">
                  <v>-20.69301963118814</v>
                </pt>
                <pt idx="23">
                  <v>-25.15491700144242</v>
                </pt>
                <pt idx="24">
                  <v>-28.77422777753209</v>
                </pt>
                <pt idx="25">
                  <v>-31.4409810329853</v>
                </pt>
                <pt idx="26">
                  <v>-33.07414881957735</v>
                </pt>
                <pt idx="27">
                  <v>-33.62410816053542</v>
                </pt>
                <pt idx="28">
                  <v>-33.07414881957735</v>
                </pt>
                <pt idx="29">
                  <v>-31.4409810329853</v>
                </pt>
                <pt idx="30">
                  <v>-28.7742277775321</v>
                </pt>
                <pt idx="31">
                  <v>-25.15491700144243</v>
                </pt>
                <pt idx="32">
                  <v>-20.69301963118815</v>
                </pt>
                <pt idx="33">
                  <v>-15.52410816053544</v>
                </pt>
                <pt idx="34">
                  <v>-9.805237348924653</v>
                </pt>
                <pt idx="35">
                  <v>-3.710172192078299</v>
                </pt>
                <pt idx="36">
                  <v>2.575891839464573</v>
                </pt>
              </numCache>
            </numRef>
          </yVal>
          <smooth val="1"/>
        </ser>
        <ser>
          <idx val="8"/>
          <order val="4"/>
          <tx>
            <strRef>
              <f>[2]抖动计算!$BS$19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[2]抖动计算!$BS$21:$BS$57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[2]抖动计算!$BT$21:$BT$57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9"/>
          <order val="5"/>
          <tx>
            <strRef>
              <f>[2]抖动计算!$BU$19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[2]抖动计算!$BU$21:$BU$57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[2]抖动计算!$BV$21:$BV$57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0"/>
          <order val="6"/>
          <tx>
            <strRef>
              <f>[2]抖动计算!$BW$19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[2]抖动计算!$BW$21:$BW$57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[2]抖动计算!$BX$21:$BX$57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1"/>
          <order val="7"/>
          <tx>
            <strRef>
              <f>[2]抖动计算!$BY$19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[2]抖动计算!$BY$21:$BY$57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[2]抖动计算!$BZ$21:$BZ$57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2"/>
          <order val="8"/>
          <tx>
            <strRef>
              <f>[2]抖动计算!$CA$19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[2]抖动计算!$CA$21:$CA$57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[2]抖动计算!$CB$21:$CB$57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3"/>
          <order val="9"/>
          <tx>
            <strRef>
              <f>[2]抖动计算!$CC$19</f>
              <strCache>
                <ptCount val="1"/>
                <pt idx="0">
                  <v>NA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[2]抖动计算!$CC$21:$CC$57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xVal>
          <yVal>
            <numRef>
              <f>[2]抖动计算!$CD$21:$CD$57</f>
              <numCache>
                <formatCode>General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</numCache>
            </numRef>
          </yVal>
          <smooth val="1"/>
        </ser>
        <ser>
          <idx val="14"/>
          <order val="10"/>
          <tx>
            <strRef>
              <f>[2]对齐度计算!$BK$1</f>
              <strCache>
                <ptCount val="1"/>
                <pt idx="0">
                  <v>张紧器头部</v>
                </pt>
              </strCache>
            </strRef>
          </tx>
          <spPr>
            <a:ln w="9525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[2]对齐度计算!$BK$4:$BK$40</f>
              <numCache>
                <formatCode>General</formatCode>
                <ptCount val="37"/>
                <pt idx="0">
                  <v>140</v>
                </pt>
                <pt idx="1">
                  <v>139.6961550602442</v>
                </pt>
                <pt idx="2">
                  <v>138.7938524157182</v>
                </pt>
                <pt idx="3">
                  <v>137.3205080756888</v>
                </pt>
                <pt idx="4">
                  <v>135.3208888623795</v>
                </pt>
                <pt idx="5">
                  <v>132.8557521937308</v>
                </pt>
                <pt idx="6">
                  <v>130</v>
                </pt>
                <pt idx="7">
                  <v>126.8404028665134</v>
                </pt>
                <pt idx="8">
                  <v>123.4729635533386</v>
                </pt>
                <pt idx="9">
                  <v>120</v>
                </pt>
                <pt idx="10">
                  <v>116.5270364466614</v>
                </pt>
                <pt idx="11">
                  <v>113.1595971334866</v>
                </pt>
                <pt idx="12">
                  <v>110</v>
                </pt>
                <pt idx="13">
                  <v>107.1442478062692</v>
                </pt>
                <pt idx="14">
                  <v>104.6791111376204</v>
                </pt>
                <pt idx="15">
                  <v>102.6794919243112</v>
                </pt>
                <pt idx="16">
                  <v>101.2061475842818</v>
                </pt>
                <pt idx="17">
                  <v>100.3038449397558</v>
                </pt>
                <pt idx="18">
                  <v>100</v>
                </pt>
                <pt idx="19">
                  <v>100.3038449397558</v>
                </pt>
                <pt idx="20">
                  <v>101.2061475842818</v>
                </pt>
                <pt idx="21">
                  <v>102.6794919243112</v>
                </pt>
                <pt idx="22">
                  <v>104.6791111376204</v>
                </pt>
                <pt idx="23">
                  <v>107.1442478062692</v>
                </pt>
                <pt idx="24">
                  <v>110</v>
                </pt>
                <pt idx="25">
                  <v>113.1595971334866</v>
                </pt>
                <pt idx="26">
                  <v>116.5270364466614</v>
                </pt>
                <pt idx="27">
                  <v>120</v>
                </pt>
                <pt idx="28">
                  <v>123.4729635533386</v>
                </pt>
                <pt idx="29">
                  <v>126.8404028665134</v>
                </pt>
                <pt idx="30">
                  <v>130</v>
                </pt>
                <pt idx="31">
                  <v>132.8557521937308</v>
                </pt>
                <pt idx="32">
                  <v>135.3208888623795</v>
                </pt>
                <pt idx="33">
                  <v>137.3205080756888</v>
                </pt>
                <pt idx="34">
                  <v>138.7938524157182</v>
                </pt>
                <pt idx="35">
                  <v>139.6961550602442</v>
                </pt>
                <pt idx="36">
                  <v>140</v>
                </pt>
              </numCache>
            </numRef>
          </xVal>
          <yVal>
            <numRef>
              <f>[2]对齐度计算!$BL$4:$BL$40</f>
              <numCache>
                <formatCode>General</formatCode>
                <ptCount val="37"/>
                <pt idx="0">
                  <v>20</v>
                </pt>
                <pt idx="1">
                  <v>23.47296355333861</v>
                </pt>
                <pt idx="2">
                  <v>26.84040286651337</v>
                </pt>
                <pt idx="3">
                  <v>30</v>
                </pt>
                <pt idx="4">
                  <v>32.85575219373079</v>
                </pt>
                <pt idx="5">
                  <v>35.32088886237956</v>
                </pt>
                <pt idx="6">
                  <v>37.32050807568877</v>
                </pt>
                <pt idx="7">
                  <v>38.79385241571816</v>
                </pt>
                <pt idx="8">
                  <v>39.69615506024416</v>
                </pt>
                <pt idx="9">
                  <v>40</v>
                </pt>
                <pt idx="10">
                  <v>39.69615506024416</v>
                </pt>
                <pt idx="11">
                  <v>38.79385241571817</v>
                </pt>
                <pt idx="12">
                  <v>37.32050807568878</v>
                </pt>
                <pt idx="13">
                  <v>35.32088886237956</v>
                </pt>
                <pt idx="14">
                  <v>32.85575219373079</v>
                </pt>
                <pt idx="15">
                  <v>30</v>
                </pt>
                <pt idx="16">
                  <v>26.84040286651338</v>
                </pt>
                <pt idx="17">
                  <v>23.47296355333862</v>
                </pt>
                <pt idx="18">
                  <v>20</v>
                </pt>
                <pt idx="19">
                  <v>16.52703644666139</v>
                </pt>
                <pt idx="20">
                  <v>13.15959713348663</v>
                </pt>
                <pt idx="21">
                  <v>9.999999999999998</v>
                </pt>
                <pt idx="22">
                  <v>7.144247806269215</v>
                </pt>
                <pt idx="23">
                  <v>4.679111137620442</v>
                </pt>
                <pt idx="24">
                  <v>2.679491924311233</v>
                </pt>
                <pt idx="25">
                  <v>1.206147584281837</v>
                </pt>
                <pt idx="26">
                  <v>0.3038449397558409</v>
                </pt>
                <pt idx="27">
                  <v>0</v>
                </pt>
                <pt idx="28">
                  <v>0.3038449397558374</v>
                </pt>
                <pt idx="29">
                  <v>1.206147584281833</v>
                </pt>
                <pt idx="30">
                  <v>2.679491924311229</v>
                </pt>
                <pt idx="31">
                  <v>4.679111137620438</v>
                </pt>
                <pt idx="32">
                  <v>7.144247806269208</v>
                </pt>
                <pt idx="33">
                  <v>9.999999999999991</v>
                </pt>
                <pt idx="34">
                  <v>13.15959713348661</v>
                </pt>
                <pt idx="35">
                  <v>16.52703644666139</v>
                </pt>
                <pt idx="36">
                  <v>20</v>
                </pt>
              </numCache>
            </numRef>
          </yVal>
          <smooth val="1"/>
        </ser>
        <ser>
          <idx val="15"/>
          <order val="11"/>
          <tx>
            <v>张紧器臂</v>
          </tx>
          <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dPt>
          <xVal>
            <numRef>
              <f>([2]抖动计算!$A$3,[2]抖动计算!$CA$16)</f>
              <numCache>
                <formatCode>General</formatCode>
                <ptCount val="2"/>
                <pt idx="0">
                  <v>120</v>
                </pt>
                <pt idx="1">
                  <v>168.4503803371032</v>
                </pt>
              </numCache>
            </numRef>
          </xVal>
          <yVal>
            <numRef>
              <f>([2]抖动计算!$B$3,[2]抖动计算!$CB$16)</f>
              <numCache>
                <formatCode>General</formatCode>
                <ptCount val="2"/>
                <pt idx="0">
                  <v>20</v>
                </pt>
                <pt idx="1">
                  <v>2.575891839464582</v>
                </pt>
              </numCache>
            </numRef>
          </yVal>
          <smooth val="1"/>
        </ser>
        <ser>
          <idx val="16"/>
          <order val="12"/>
          <tx>
            <strRef>
              <f>[2]抖动计算!$B$10</f>
              <strCache>
                <ptCount val="1"/>
                <pt idx="0">
                  <v>CRK-ALT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  <a:headEnd w="lg" len="lg"/>
              <a:tailEnd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  <a:tailEnd w="lg" len="lg"/>
              </a:ln>
            </spPr>
          </dPt>
          <xVal>
            <numRef>
              <f>([2]抖动计算!$BS$61,[2]抖动计算!$BQ$62)</f>
              <numCache>
                <formatCode>General</formatCode>
                <ptCount val="2"/>
                <pt idx="0">
                  <v>-7.933082074016857</v>
                </pt>
                <pt idx="1">
                  <v>246.8834320423505</v>
                </pt>
              </numCache>
            </numRef>
          </xVal>
          <yVal>
            <numRef>
              <f>([2]抖动计算!$BT$61,[2]抖动计算!$BR$62)</f>
              <numCache>
                <formatCode>General</formatCode>
                <ptCount val="2"/>
                <pt idx="0">
                  <v>-97.67838148130278</v>
                </pt>
                <pt idx="1">
                  <v>-118.3736498676547</v>
                </pt>
              </numCache>
            </numRef>
          </yVal>
          <smooth val="1"/>
        </ser>
        <ser>
          <idx val="17"/>
          <order val="13"/>
          <tx>
            <strRef>
              <f>[2]抖动计算!$B$11</f>
              <strCache>
                <ptCount val="1"/>
                <pt idx="0">
                  <v>ALT-AC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([2]抖动计算!$BS$62,[2]抖动计算!$BQ$63)</f>
              <numCache>
                <formatCode>General</formatCode>
                <ptCount val="2"/>
                <pt idx="0">
                  <v>287.9665850326021</v>
                </pt>
                <pt idx="1">
                  <v>323.2241236837849</v>
                </pt>
              </numCache>
            </numRef>
          </xVal>
          <yVal>
            <numRef>
              <f>([2]抖动计算!$BT$62,[2]抖动计算!$BR$63)</f>
              <numCache>
                <formatCode>General</formatCode>
                <ptCount val="2"/>
                <pt idx="0">
                  <v>-86.38658132040865</v>
                </pt>
                <pt idx="1">
                  <v>123.2104271703147</v>
                </pt>
              </numCache>
            </numRef>
          </yVal>
          <smooth val="1"/>
        </ser>
        <ser>
          <idx val="18"/>
          <order val="14"/>
          <tx>
            <strRef>
              <f>[2]抖动计算!$B$12</f>
              <strCache>
                <ptCount val="1"/>
                <pt idx="0">
                  <v>AC-TEN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([2]抖动计算!$BS$63,[2]抖动计算!$BQ$64)</f>
              <numCache>
                <formatCode>General</formatCode>
                <ptCount val="2"/>
                <pt idx="0">
                  <v>212.0859782006555</v>
                </pt>
                <pt idx="1">
                  <v>204.6163171826467</v>
                </pt>
              </numCache>
            </numRef>
          </xVal>
          <yVal>
            <numRef>
              <f>([2]抖动计算!$BT$63,[2]抖动计算!$BR$64)</f>
              <numCache>
                <formatCode>General</formatCode>
                <ptCount val="2"/>
                <pt idx="0">
                  <v>135.6019616732692</v>
                </pt>
                <pt idx="1">
                  <v>1.005856144276641</v>
                </pt>
              </numCache>
            </numRef>
          </yVal>
          <smooth val="1"/>
        </ser>
        <ser>
          <idx val="19"/>
          <order val="15"/>
          <tx>
            <strRef>
              <f>[2]抖动计算!$B$13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([2]抖动计算!$BS$64,[2]抖动计算!$BQ$65)</f>
              <numCache>
                <formatCode>General</formatCode>
                <ptCount val="2"/>
                <pt idx="0">
                  <v>139.952137307705</v>
                </pt>
                <pt idx="1">
                  <v>139.952137307705</v>
                </pt>
              </numCache>
            </numRef>
          </xVal>
          <yVal>
            <numRef>
              <f>([2]抖动计算!$BT$64,[2]抖动计算!$BR$65)</f>
              <numCache>
                <formatCode>General</formatCode>
                <ptCount val="2"/>
                <pt idx="0">
                  <v>-19.74652165543674</v>
                </pt>
                <pt idx="1">
                  <v>-19.74652165543674</v>
                </pt>
              </numCache>
            </numRef>
          </yVal>
          <smooth val="1"/>
        </ser>
        <ser>
          <idx val="20"/>
          <order val="16"/>
          <tx>
            <strRef>
              <f>[2]抖动计算!$B$14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([2]抖动计算!$BS$65,[2]抖动计算!$BQ$66)</f>
              <numCache>
                <formatCode>General</formatCode>
                <ptCount val="2"/>
                <pt idx="0">
                  <v>139.952137307705</v>
                </pt>
                <pt idx="1">
                  <v>139.952137307705</v>
                </pt>
              </numCache>
            </numRef>
          </xVal>
          <yVal>
            <numRef>
              <f>([2]抖动计算!$BT$65,[2]抖动计算!$BR$66)</f>
              <numCache>
                <formatCode>General</formatCode>
                <ptCount val="2"/>
                <pt idx="0">
                  <v>-19.74652165543674</v>
                </pt>
                <pt idx="1">
                  <v>-19.74652165543674</v>
                </pt>
              </numCache>
            </numRef>
          </yVal>
          <smooth val="1"/>
        </ser>
        <ser>
          <idx val="21"/>
          <order val="17"/>
          <tx>
            <strRef>
              <f>[2]抖动计算!$B$15</f>
              <strCache>
                <ptCount val="1"/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  <a:headEnd type="triangle"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</a:ln>
            </spPr>
          </dPt>
          <xVal>
            <numRef>
              <f>([2]抖动计算!$BS$66,[2]抖动计算!$BQ$67)</f>
              <numCache>
                <formatCode>General</formatCode>
                <ptCount val="2"/>
                <pt idx="0">
                  <v>139.952137307705</v>
                </pt>
                <pt idx="1">
                  <v>139.952137307705</v>
                </pt>
              </numCache>
            </numRef>
          </xVal>
          <yVal>
            <numRef>
              <f>([2]抖动计算!$BT$66,[2]抖动计算!$BR$67)</f>
              <numCache>
                <formatCode>General</formatCode>
                <ptCount val="2"/>
                <pt idx="0">
                  <v>-19.74652165543674</v>
                </pt>
                <pt idx="1">
                  <v>-19.74652165543674</v>
                </pt>
              </numCache>
            </numRef>
          </yVal>
          <smooth val="1"/>
        </ser>
        <ser>
          <idx val="22"/>
          <order val="18"/>
          <tx>
            <strRef>
              <f>[2]抖动计算!$B$16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type="triangle" w="lg" len="lg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chemeClr val="accent1"/>
                </a:solidFill>
                <a:prstDash val="solid"/>
                <a:round/>
                <a:headEnd w="lg" len="lg"/>
              </a:ln>
            </spPr>
          </dPt>
          <xVal>
            <numRef>
              <f>([2]抖动计算!$BS$67,[2]抖动计算!$BQ$68)</f>
              <numCache>
                <formatCode>General</formatCode>
                <ptCount val="2"/>
                <pt idx="0">
                  <v>139.952137307705</v>
                </pt>
                <pt idx="1">
                  <v>139.952137307705</v>
                </pt>
              </numCache>
            </numRef>
          </xVal>
          <yVal>
            <numRef>
              <f>([2]抖动计算!$BT$67,[2]抖动计算!$BR$68)</f>
              <numCache>
                <formatCode>General</formatCode>
                <ptCount val="2"/>
                <pt idx="0">
                  <v>-19.74652165543674</v>
                </pt>
                <pt idx="1">
                  <v>-19.74652165543674</v>
                </pt>
              </numCache>
            </numRef>
          </yVal>
          <smooth val="1"/>
        </ser>
        <ser>
          <idx val="23"/>
          <order val="19"/>
          <tx>
            <strRef>
              <f>[2]抖动计算!$B$17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([2]抖动计算!$BS$68,[2]抖动计算!$BQ$69)</f>
              <numCache>
                <formatCode>General</formatCode>
                <ptCount val="2"/>
                <pt idx="0">
                  <v>139.952137307705</v>
                </pt>
                <pt idx="1">
                  <v>139.952137307705</v>
                </pt>
              </numCache>
            </numRef>
          </xVal>
          <yVal>
            <numRef>
              <f>([2]抖动计算!$BT$68,[2]抖动计算!$BR$69)</f>
              <numCache>
                <formatCode>General</formatCode>
                <ptCount val="2"/>
                <pt idx="0">
                  <v>-19.74652165543674</v>
                </pt>
                <pt idx="1">
                  <v>-19.74652165543674</v>
                </pt>
              </numCache>
            </numRef>
          </yVal>
          <smooth val="1"/>
        </ser>
        <ser>
          <idx val="24"/>
          <order val="20"/>
          <tx>
            <strRef>
              <f>[2]抖动计算!$B$18</f>
              <strCache>
                <ptCount val="1"/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([2]抖动计算!$BS$69,[2]抖动计算!$BQ$70)</f>
              <numCache>
                <formatCode>General</formatCode>
                <ptCount val="2"/>
                <pt idx="0">
                  <v>139.952137307705</v>
                </pt>
                <pt idx="1">
                  <v>139.952137307705</v>
                </pt>
              </numCache>
            </numRef>
          </xVal>
          <yVal>
            <numRef>
              <f>([2]抖动计算!$BT$69,[2]抖动计算!$BR$70)</f>
              <numCache>
                <formatCode>General</formatCode>
                <ptCount val="2"/>
                <pt idx="0">
                  <v>-19.74652165543674</v>
                </pt>
                <pt idx="1">
                  <v>-19.74652165543674</v>
                </pt>
              </numCache>
            </numRef>
          </yVal>
          <smooth val="1"/>
        </ser>
        <ser>
          <idx val="25"/>
          <order val="21"/>
          <tx>
            <strRef>
              <f>[2]抖动计算!$B$19</f>
              <strCache>
                <ptCount val="1"/>
                <pt idx="0">
                  <v>TEN-CRK</v>
                </pt>
              </strCache>
            </strRef>
          </tx>
          <spPr>
            <a:ln w="9525" cap="rnd">
              <a:solidFill>
                <a:schemeClr val="accent1"/>
              </a:solidFill>
              <a:prstDash val="solid"/>
              <a:round/>
              <a:headEnd w="lg" len="lg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([2]抖动计算!$BS$70,[2]抖动计算!$BQ$61)</f>
              <numCache>
                <formatCode>General</formatCode>
                <ptCount val="2"/>
                <pt idx="0">
                  <v>139.952137307705</v>
                </pt>
                <pt idx="1">
                  <v>77.14993969284619</v>
                </pt>
              </numCache>
            </numRef>
          </xVal>
          <yVal>
            <numRef>
              <f>([2]抖动计算!$BT$70,[2]抖动计算!$BR$61)</f>
              <numCache>
                <formatCode>General</formatCode>
                <ptCount val="2"/>
                <pt idx="0">
                  <v>-19.74652165543674</v>
                </pt>
                <pt idx="1">
                  <v>60.43084316299248</v>
                </pt>
              </numCache>
            </numRef>
          </yVal>
          <smooth val="1"/>
        </ser>
        <ser>
          <idx val="26"/>
          <order val="22"/>
          <tx>
            <strRef>
              <f>[2]抖动计算!$BK$61</f>
              <strCache>
                <ptCount val="1"/>
                <pt idx="0">
                  <v>CRK</v>
                </pt>
              </strCache>
            </strRef>
          </tx>
          <spPr>
            <a:ln w="1905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800" b="0" i="0" strike="noStrike" kern="1200" baseline="0">
                      <a:solidFill>
                        <a:schemeClr val="accent1"/>
                      </a:solidFill>
                      <a:latin typeface="+mn-lt"/>
                      <a:ea typeface="+mj-ea"/>
                      <a:cs typeface="+mn-cs"/>
                    </a:defRPr>
                  </a:pPr>
                  <a:r>
                    <a:t>None</a:t>
                  </a:r>
                  <a:endParaRPr lang="zh-CN" altLang="en-US"/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j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[2]抖动计算!$BL$61</f>
              <numCache>
                <formatCode>General</formatCode>
                <ptCount val="1"/>
                <pt idx="0">
                  <v>0</v>
                </pt>
              </numCache>
            </numRef>
          </xVal>
          <yVal>
            <numRef>
              <f>[2]抖动计算!$BM$61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27"/>
          <order val="23"/>
          <tx>
            <strRef>
              <f>[2]抖动计算!$BK$62</f>
              <strCache>
                <ptCount val="1"/>
                <pt idx="0">
                  <v>ALT</v>
                </pt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[2]抖动计算!$BL$62</f>
              <numCache>
                <formatCode>General</formatCode>
                <ptCount val="1"/>
                <pt idx="0">
                  <v>250</v>
                </pt>
              </numCache>
            </numRef>
          </xVal>
          <yVal>
            <numRef>
              <f>[2]抖动计算!$BM$62</f>
              <numCache>
                <formatCode>General</formatCode>
                <ptCount val="1"/>
                <pt idx="0">
                  <v>-80</v>
                </pt>
              </numCache>
            </numRef>
          </yVal>
          <smooth val="1"/>
        </ser>
        <ser>
          <idx val="28"/>
          <order val="24"/>
          <tx>
            <strRef>
              <f>[2]抖动计算!$BK$63</f>
              <strCache>
                <ptCount val="1"/>
                <pt idx="0">
                  <v>AC</v>
                </pt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[2]抖动计算!$BL$63</f>
              <numCache>
                <formatCode>General</formatCode>
                <ptCount val="1"/>
                <pt idx="0">
                  <v>268</v>
                </pt>
              </numCache>
            </numRef>
          </xVal>
          <yVal>
            <numRef>
              <f>[2]抖动计算!$BM$63</f>
              <numCache>
                <formatCode>General</formatCode>
                <ptCount val="1"/>
                <pt idx="0">
                  <v>132.5</v>
                </pt>
              </numCache>
            </numRef>
          </yVal>
          <smooth val="1"/>
        </ser>
        <ser>
          <idx val="29"/>
          <order val="25"/>
          <tx>
            <strRef>
              <f>[2]抖动计算!$BK$64</f>
              <strCache>
                <ptCount val="1"/>
                <pt idx="0">
                  <v>TEN</v>
                </pt>
              </strCache>
            </strRef>
          </tx>
          <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numRef>
              <f>[2]抖动计算!$BL$64</f>
              <numCache>
                <formatCode>General</formatCode>
                <ptCount val="1"/>
                <pt idx="0">
                  <v>168.4503803371032</v>
                </pt>
              </numCache>
            </numRef>
          </xVal>
          <yVal>
            <numRef>
              <f>[2]抖动计算!$BM$64</f>
              <numCache>
                <formatCode>General</formatCode>
                <ptCount val="1"/>
                <pt idx="0">
                  <v>2.575891839464582</v>
                </pt>
              </numCache>
            </numRef>
          </yVal>
          <smooth val="1"/>
        </ser>
        <ser>
          <idx val="30"/>
          <order val="26"/>
          <tx>
            <strRef>
              <f>[2]抖动计算!$BK$65</f>
              <strCache>
                <ptCount val="1"/>
              </strCache>
            </strRef>
          </tx>
          <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[2]抖动计算!$BL$65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[2]抖动计算!$BM$65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1"/>
          <order val="27"/>
          <tx>
            <strRef>
              <f>[2]抖动计算!$BK$66</f>
              <strCache>
                <ptCount val="1"/>
              </strCache>
            </strRef>
          </tx>
          <spPr>
            <a:ln w="0" cap="sq">
              <a:solidFill>
                <a:schemeClr val="bg1">
                  <a:alpha val="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spPr>
                <a:noFill/>
                <a:ln>
                  <a:solidFill>
                    <a:schemeClr val="tx1">
                      <a:alpha val="0"/>
                      <a:lumMod val="50000"/>
                      <a:lumOff val="50000"/>
                    </a:schemeClr>
                  </a:solidFill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zh-CN"/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pPr>
              <a:solidFill>
                <a:schemeClr val="bg1"/>
              </a:solidFill>
              <a:ln>
                <a:solidFill>
                  <a:schemeClr val="tx1">
                    <a:alpha val="0"/>
                    <a:lumMod val="50000"/>
                    <a:lumOff val="50000"/>
                  </a:schemeClr>
                </a:solidFill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[2]抖动计算!$BL$66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[2]抖动计算!$BM$66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0"/>
        </ser>
        <ser>
          <idx val="32"/>
          <order val="28"/>
          <tx>
            <strRef>
              <f>[2]抖动计算!$BK$67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[2]抖动计算!$BL$67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[2]抖动计算!$BM$67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3"/>
          <order val="29"/>
          <tx>
            <strRef>
              <f>[2]抖动计算!$BK$68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[2]抖动计算!$BL$68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[2]抖动计算!$BM$68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4"/>
          <order val="30"/>
          <tx>
            <strRef>
              <f>[2]抖动计算!$BK$69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[2]抖动计算!$BL$69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[2]抖动计算!$BM$69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5"/>
          <order val="31"/>
          <tx>
            <strRef>
              <f>[2]抖动计算!$BK$70</f>
              <strCache>
                <ptCount val="1"/>
              </strCache>
            </strRef>
          </tx>
          <spPr>
            <a:ln w="19050" cap="rnd">
              <a:solidFill>
                <a:schemeClr val="tx1">
                  <a:alpha val="0"/>
                  <a:lumMod val="50000"/>
                  <a:lumOff val="5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zh-CN"/>
              </a:p>
            </txPr>
            <dLblPos val="ctr"/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xVal>
            <strRef>
              <f>[2]抖动计算!$BL$70</f>
              <strCache>
                <ptCount val="1"/>
                <pt idx="0">
                  <v>0</v>
                </pt>
              </strCache>
            </strRef>
          </xVal>
          <yVal>
            <numRef>
              <f>[2]抖动计算!$BM$70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1"/>
        </ser>
        <ser>
          <idx val="36"/>
          <order val="32"/>
          <tx>
            <v>短皮带前带段抖动</v>
          </tx>
          <spPr>
            <a:ln w="19050" cap="rnd">
              <a:solidFill>
                <a:schemeClr val="accent5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rgbClr val="FF0000"/>
                </a:solidFill>
                <a:prstDash val="dash"/>
                <a:round/>
              </a:ln>
            </spPr>
          </dPt>
          <xVal>
            <numRef>
              <f>([2]抖动计算!$BX$4,[2]抖动计算!$BO$12)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xVal>
          <yVal>
            <numRef>
              <f>([2]抖动计算!$BY$4,[2]抖动计算!$BP$12)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yVal>
          <smooth val="1"/>
        </ser>
        <ser>
          <idx val="37"/>
          <order val="33"/>
          <tx>
            <v>短皮带后带段抖动</v>
          </tx>
          <spPr>
            <a:ln w="9525" cap="rnd">
              <a:solidFill>
                <a:schemeClr val="accent5">
                  <a:lumMod val="60000"/>
                </a:schemeClr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9525" cap="rnd">
                <a:solidFill>
                  <a:srgbClr val="FF0000"/>
                </a:solidFill>
                <a:prstDash val="dash"/>
                <a:round/>
              </a:ln>
            </spPr>
          </dPt>
          <xVal>
            <numRef>
              <f>([2]抖动计算!$BX$4,[2]抖动计算!$BV$12)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xVal>
          <yVal>
            <numRef>
              <f>([2]抖动计算!$BY$4,[2]抖动计算!$BW$12)</f>
              <numCache>
                <formatCode>General</formatCode>
                <ptCount val="2"/>
                <pt idx="0">
                  <v>#N/A</v>
                </pt>
                <pt idx="1">
                  <v>#N/A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9373440"/>
        <axId val="209399808"/>
      </scatterChart>
      <valAx>
        <axId val="209373440"/>
        <scaling>
          <orientation val="minMax"/>
          <max val="500"/>
          <min val="-30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zh-CN"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09399808"/>
        <crossesAt val="-1000"/>
        <crossBetween val="midCat"/>
      </valAx>
      <valAx>
        <axId val="209399808"/>
        <scaling>
          <orientation val="minMax"/>
          <max val="400"/>
          <min val="-2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lang="zh-CN" sz="7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09373440"/>
        <crossesAt val="-500"/>
        <crossBetween val="midCat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15</col>
      <colOff>88127</colOff>
      <row>130</row>
      <rowOff>8862</rowOff>
    </from>
    <to>
      <col>24</col>
      <colOff>272415</colOff>
      <row>140</row>
      <rowOff>32219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9525</colOff>
      <row>290</row>
      <rowOff>28576</rowOff>
    </from>
    <to>
      <col>16</col>
      <colOff>0</colOff>
      <row>303</row>
      <rowOff>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162560</colOff>
      <row>312</row>
      <rowOff>37463</rowOff>
    </from>
    <to>
      <col>25</col>
      <colOff>26035</colOff>
      <row>327</row>
      <rowOff>542924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</col>
      <colOff>0</colOff>
      <row>208</row>
      <rowOff>9525</rowOff>
    </from>
    <to>
      <col>25</col>
      <colOff>8283</colOff>
      <row>220</row>
      <rowOff>10160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15</col>
      <colOff>104775</colOff>
      <row>142</row>
      <rowOff>152817</rowOff>
    </from>
    <to>
      <col>24</col>
      <colOff>286385</colOff>
      <row>152</row>
      <rowOff>224461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17</col>
      <colOff>38100</colOff>
      <row>172</row>
      <rowOff>9525</rowOff>
    </from>
    <to>
      <col>25</col>
      <colOff>266700</colOff>
      <row>190</row>
      <rowOff>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15</col>
      <colOff>74544</colOff>
      <row>255</row>
      <rowOff>0</rowOff>
    </from>
    <to>
      <col>25</col>
      <colOff>190500</colOff>
      <row>269</row>
      <rowOff>57979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2</col>
      <colOff>33618</colOff>
      <row>65</row>
      <rowOff>44824</rowOff>
    </from>
    <to>
      <col>12</col>
      <colOff>280147</colOff>
      <row>76</row>
      <rowOff>179294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14</col>
      <colOff>56029</colOff>
      <row>65</row>
      <rowOff>67236</rowOff>
    </from>
    <to>
      <col>24</col>
      <colOff>212911</colOff>
      <row>76</row>
      <rowOff>156883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2</col>
      <colOff>56030</colOff>
      <row>84</row>
      <rowOff>268939</rowOff>
    </from>
    <to>
      <col>12</col>
      <colOff>302558</colOff>
      <row>92</row>
      <rowOff>89645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14</col>
      <colOff>67235</colOff>
      <row>84</row>
      <rowOff>280146</rowOff>
    </from>
    <to>
      <col>24</col>
      <colOff>235324</colOff>
      <row>92</row>
      <rowOff>22412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&#24037;&#20316;/&#21442;&#32771;&#36164;&#26009;/&#36718;&#31995;&#36164;&#26009;/&#36718;&#31995;&#35745;&#31639;&#36719;&#20214;/&#25972;&#22871;&#35745;&#31639;&#20844;&#24335;/&#35745;&#31639;&#20844;&#24335;/&#20010;&#20154;&#36164;&#26009;/&#24320;&#21457;&#31243;&#24207;/&#29577;&#26612;D08JQ&#36718;&#31995;(&#26417;&#32032;&#26519;)/&#38738;&#24180;&#33714;&#33457;/ABDS-FEAD3.6(RDL&#31354;2).xls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&#24037;&#20316;&#30446;&#24405;/&#24403;&#21069;&#24037;&#20316;/&#35843;&#35797;&#36718;&#31995;&#35745;&#31639;&#25253;&#21578;/2026072002-02(FEAD-652-FAN-9PK-EPDM-1685)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s"/>
      <sheetName val="Geometry"/>
      <sheetName val="Analysis"/>
      <sheetName val="ArcFactor"/>
      <sheetName val="Bearing"/>
      <sheetName val="L10Life"/>
    </sheetNames>
    <sheetDataSet>
      <sheetData sheetId="0"/>
      <sheetData sheetId="1"/>
      <sheetData sheetId="2">
        <row r="3">
          <cell r="G3" t="str">
            <v>A-C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报告页"/>
      <sheetName val="初始输入"/>
      <sheetName val="负载输入"/>
      <sheetName val="对齐度计算"/>
      <sheetName val="Input"/>
      <sheetName val="抖动计算"/>
      <sheetName val="Results(china)"/>
      <sheetName val="Geometry"/>
      <sheetName val="Analysis"/>
      <sheetName val="ArcFactor"/>
      <sheetName val="辅助计算"/>
    </sheetNames>
    <definedNames>
      <definedName name="A_C" refersTo="='Analysis'!$G$3" sheetId="8"/>
    </definedNames>
    <sheetDataSet>
      <sheetData sheetId="0" refreshError="1"/>
      <sheetData sheetId="1" refreshError="1">
        <row r="8">
          <cell r="C8">
            <v>2026072002</v>
          </cell>
        </row>
        <row r="41">
          <cell r="C41" t="str">
            <v>Automatic</v>
          </cell>
        </row>
        <row r="66">
          <cell r="B66" t="str">
            <v>CRK-IDR</v>
          </cell>
          <cell r="I66" t="str">
            <v>CRK-IDR</v>
          </cell>
        </row>
        <row r="68">
          <cell r="B68" t="str">
            <v>TEN</v>
          </cell>
          <cell r="I68" t="str">
            <v>TEN</v>
          </cell>
        </row>
        <row r="74">
          <cell r="I74" t="e">
            <v>#N/A</v>
          </cell>
        </row>
        <row r="77">
          <cell r="B77" t="str">
            <v>CRK-IDR</v>
          </cell>
          <cell r="I77" t="str">
            <v>CRK-IDR</v>
          </cell>
        </row>
        <row r="79">
          <cell r="B79" t="str">
            <v>TEN</v>
          </cell>
          <cell r="I79" t="str">
            <v>TEN</v>
          </cell>
        </row>
        <row r="85">
          <cell r="B85" t="e">
            <v>#N/A</v>
          </cell>
          <cell r="I85" t="e">
            <v>#N/A</v>
          </cell>
        </row>
      </sheetData>
      <sheetData sheetId="2" refreshError="1">
        <row r="3">
          <cell r="G3" t="str">
            <v>AC</v>
          </cell>
        </row>
        <row r="4">
          <cell r="A4">
            <v>5</v>
          </cell>
          <cell r="E4">
            <v>11.49</v>
          </cell>
          <cell r="F4">
            <v>0</v>
          </cell>
          <cell r="G4">
            <v>11.49</v>
          </cell>
          <cell r="H4">
            <v>0</v>
          </cell>
        </row>
        <row r="5">
          <cell r="A5">
            <v>10</v>
          </cell>
          <cell r="E5">
            <v>20.239999999999998</v>
          </cell>
          <cell r="F5">
            <v>0</v>
          </cell>
          <cell r="G5">
            <v>20.239999999999998</v>
          </cell>
          <cell r="H5">
            <v>0</v>
          </cell>
        </row>
        <row r="6">
          <cell r="A6">
            <v>20</v>
          </cell>
          <cell r="E6">
            <v>22.86</v>
          </cell>
          <cell r="F6">
            <v>0</v>
          </cell>
          <cell r="G6">
            <v>22.86</v>
          </cell>
          <cell r="H6">
            <v>0</v>
          </cell>
        </row>
        <row r="7">
          <cell r="A7">
            <v>20</v>
          </cell>
          <cell r="E7">
            <v>24.43</v>
          </cell>
          <cell r="F7">
            <v>0</v>
          </cell>
          <cell r="G7">
            <v>24.43</v>
          </cell>
          <cell r="H7">
            <v>0</v>
          </cell>
        </row>
        <row r="8">
          <cell r="A8">
            <v>40</v>
          </cell>
          <cell r="E8">
            <v>35.479999999999997</v>
          </cell>
          <cell r="F8">
            <v>0</v>
          </cell>
          <cell r="G8">
            <v>35.479999999999997</v>
          </cell>
          <cell r="H8">
            <v>0</v>
          </cell>
        </row>
        <row r="9">
          <cell r="A9">
            <v>4.9000000000000004</v>
          </cell>
          <cell r="E9">
            <v>53.14</v>
          </cell>
          <cell r="F9">
            <v>0</v>
          </cell>
          <cell r="G9">
            <v>53.14</v>
          </cell>
          <cell r="H9">
            <v>0</v>
          </cell>
        </row>
        <row r="10">
          <cell r="A10">
            <v>0.01</v>
          </cell>
          <cell r="E10">
            <v>53.14</v>
          </cell>
          <cell r="F10">
            <v>0</v>
          </cell>
          <cell r="G10">
            <v>53.14</v>
          </cell>
          <cell r="H10">
            <v>0</v>
          </cell>
        </row>
        <row r="11">
          <cell r="A11">
            <v>0.01</v>
          </cell>
          <cell r="E11">
            <v>53.14</v>
          </cell>
          <cell r="F11">
            <v>0</v>
          </cell>
          <cell r="G11">
            <v>53.14</v>
          </cell>
          <cell r="H11">
            <v>0</v>
          </cell>
        </row>
        <row r="12">
          <cell r="A12">
            <v>0.01</v>
          </cell>
          <cell r="E12">
            <v>53.14</v>
          </cell>
          <cell r="F12">
            <v>0</v>
          </cell>
          <cell r="G12">
            <v>53.14</v>
          </cell>
          <cell r="H12">
            <v>0</v>
          </cell>
        </row>
        <row r="13">
          <cell r="A13">
            <v>0.01</v>
          </cell>
          <cell r="E13">
            <v>53.14</v>
          </cell>
          <cell r="F13">
            <v>0</v>
          </cell>
          <cell r="G13">
            <v>53.14</v>
          </cell>
          <cell r="H13">
            <v>0</v>
          </cell>
        </row>
        <row r="14">
          <cell r="A14">
            <v>0.01</v>
          </cell>
          <cell r="E14">
            <v>53.14</v>
          </cell>
          <cell r="F14">
            <v>0</v>
          </cell>
          <cell r="G14">
            <v>53.14</v>
          </cell>
          <cell r="H14">
            <v>0</v>
          </cell>
        </row>
        <row r="15">
          <cell r="A15">
            <v>0.01</v>
          </cell>
          <cell r="E15">
            <v>53.14</v>
          </cell>
          <cell r="F15">
            <v>0</v>
          </cell>
          <cell r="G15">
            <v>53.14</v>
          </cell>
          <cell r="H15">
            <v>0</v>
          </cell>
        </row>
        <row r="16">
          <cell r="A16">
            <v>0.01</v>
          </cell>
          <cell r="E16">
            <v>53.14</v>
          </cell>
          <cell r="F16">
            <v>0</v>
          </cell>
          <cell r="G16">
            <v>53.14</v>
          </cell>
          <cell r="H16">
            <v>0</v>
          </cell>
        </row>
        <row r="17">
          <cell r="A17">
            <v>0.01</v>
          </cell>
          <cell r="E17">
            <v>53.14</v>
          </cell>
          <cell r="F17">
            <v>0</v>
          </cell>
          <cell r="G17">
            <v>53.14</v>
          </cell>
          <cell r="H17">
            <v>0</v>
          </cell>
        </row>
        <row r="18">
          <cell r="A18">
            <v>0.01</v>
          </cell>
          <cell r="E18">
            <v>53.14</v>
          </cell>
          <cell r="F18">
            <v>0</v>
          </cell>
          <cell r="G18">
            <v>53.14</v>
          </cell>
          <cell r="H18">
            <v>0</v>
          </cell>
        </row>
        <row r="19">
          <cell r="A19">
            <v>5.0000000000000001E-3</v>
          </cell>
          <cell r="E19">
            <v>53.14</v>
          </cell>
          <cell r="F19">
            <v>0</v>
          </cell>
          <cell r="G19">
            <v>53.14</v>
          </cell>
          <cell r="H19">
            <v>0</v>
          </cell>
        </row>
        <row r="20">
          <cell r="A20">
            <v>5.0000000000000001E-3</v>
          </cell>
          <cell r="E20">
            <v>53.14</v>
          </cell>
          <cell r="F20">
            <v>0</v>
          </cell>
          <cell r="G20">
            <v>53.14</v>
          </cell>
          <cell r="H20">
            <v>0</v>
          </cell>
        </row>
        <row r="21">
          <cell r="M21">
            <v>1000</v>
          </cell>
        </row>
        <row r="22">
          <cell r="B22">
            <v>700</v>
          </cell>
          <cell r="C22">
            <v>1400</v>
          </cell>
          <cell r="M22">
            <v>1000</v>
          </cell>
        </row>
      </sheetData>
      <sheetData sheetId="3" refreshError="1">
        <row r="1">
          <cell r="BK1" t="str">
            <v>张紧器头部</v>
          </cell>
        </row>
        <row r="2">
          <cell r="AQ2">
            <v>1</v>
          </cell>
          <cell r="AS2">
            <v>2</v>
          </cell>
          <cell r="AU2">
            <v>3</v>
          </cell>
          <cell r="AW2">
            <v>4</v>
          </cell>
          <cell r="AY2">
            <v>5</v>
          </cell>
          <cell r="BA2">
            <v>6</v>
          </cell>
          <cell r="BC2">
            <v>7</v>
          </cell>
          <cell r="BE2">
            <v>8</v>
          </cell>
          <cell r="BG2">
            <v>9</v>
          </cell>
          <cell r="BI2">
            <v>10</v>
          </cell>
          <cell r="BK2">
            <v>11</v>
          </cell>
          <cell r="BM2">
            <v>12</v>
          </cell>
        </row>
        <row r="3">
          <cell r="G3" t="str">
            <v>描述</v>
          </cell>
        </row>
        <row r="4">
          <cell r="G4" t="str">
            <v>CRK</v>
          </cell>
          <cell r="H4">
            <v>0</v>
          </cell>
          <cell r="I4">
            <v>0</v>
          </cell>
          <cell r="AG4">
            <v>-7.9330820740168573</v>
          </cell>
          <cell r="AH4">
            <v>-97.678381481302779</v>
          </cell>
          <cell r="AQ4">
            <v>98</v>
          </cell>
          <cell r="AR4">
            <v>0</v>
          </cell>
          <cell r="AS4">
            <v>288.5</v>
          </cell>
          <cell r="AT4">
            <v>-80</v>
          </cell>
          <cell r="AU4">
            <v>324</v>
          </cell>
          <cell r="AV4">
            <v>132.5</v>
          </cell>
          <cell r="AW4">
            <v>207.62</v>
          </cell>
          <cell r="AX4">
            <v>17.350000000000026</v>
          </cell>
          <cell r="AY4" t="e">
            <v>#VALUE!</v>
          </cell>
          <cell r="AZ4" t="e">
            <v>#VALUE!</v>
          </cell>
          <cell r="BA4" t="e">
            <v>#VALUE!</v>
          </cell>
          <cell r="BB4" t="e">
            <v>#VALUE!</v>
          </cell>
          <cell r="BC4" t="e">
            <v>#VALUE!</v>
          </cell>
          <cell r="BD4" t="e">
            <v>#VALUE!</v>
          </cell>
          <cell r="BE4" t="e">
            <v>#VALUE!</v>
          </cell>
          <cell r="BF4" t="e">
            <v>#VALUE!</v>
          </cell>
          <cell r="BG4" t="e">
            <v>#VALUE!</v>
          </cell>
          <cell r="BH4" t="e">
            <v>#VALUE!</v>
          </cell>
          <cell r="BI4" t="e">
            <v>#VALUE!</v>
          </cell>
          <cell r="BJ4" t="e">
            <v>#VALUE!</v>
          </cell>
          <cell r="BK4">
            <v>140</v>
          </cell>
          <cell r="BL4">
            <v>20</v>
          </cell>
          <cell r="BM4">
            <v>171.42</v>
          </cell>
          <cell r="BN4">
            <v>17.350000000000001</v>
          </cell>
          <cell r="BO4">
            <v>206.55377645730556</v>
          </cell>
          <cell r="BP4">
            <v>30.748771859505602</v>
          </cell>
          <cell r="BQ4">
            <v>201.68240801581169</v>
          </cell>
          <cell r="BR4">
            <v>-4.1327466543538769</v>
          </cell>
        </row>
        <row r="5">
          <cell r="G5" t="str">
            <v>ALT</v>
          </cell>
          <cell r="H5">
            <v>250</v>
          </cell>
          <cell r="I5">
            <v>-80</v>
          </cell>
          <cell r="AE5">
            <v>246.88343204235053</v>
          </cell>
          <cell r="AF5">
            <v>-118.37364986765466</v>
          </cell>
          <cell r="AG5">
            <v>287.9665850326021</v>
          </cell>
          <cell r="AH5">
            <v>-86.386581320408652</v>
          </cell>
          <cell r="AQ5">
            <v>96.511159795196392</v>
          </cell>
          <cell r="AR5">
            <v>17.017521411359173</v>
          </cell>
          <cell r="AS5">
            <v>287.91509849097002</v>
          </cell>
          <cell r="AT5">
            <v>-73.314545159823183</v>
          </cell>
          <cell r="AU5">
            <v>323.14923416868362</v>
          </cell>
          <cell r="AV5">
            <v>142.22429794934811</v>
          </cell>
          <cell r="AW5">
            <v>207.07004065904192</v>
          </cell>
          <cell r="AX5">
            <v>23.636064031542904</v>
          </cell>
          <cell r="AY5" t="e">
            <v>#VALUE!</v>
          </cell>
          <cell r="AZ5" t="e">
            <v>#VALUE!</v>
          </cell>
          <cell r="BA5" t="e">
            <v>#VALUE!</v>
          </cell>
          <cell r="BB5" t="e">
            <v>#VALUE!</v>
          </cell>
          <cell r="BC5" t="e">
            <v>#VALUE!</v>
          </cell>
          <cell r="BD5" t="e">
            <v>#VALUE!</v>
          </cell>
          <cell r="BE5" t="e">
            <v>#VALUE!</v>
          </cell>
          <cell r="BF5" t="e">
            <v>#VALUE!</v>
          </cell>
          <cell r="BG5" t="e">
            <v>#VALUE!</v>
          </cell>
          <cell r="BH5" t="e">
            <v>#VALUE!</v>
          </cell>
          <cell r="BI5" t="e">
            <v>#VALUE!</v>
          </cell>
          <cell r="BJ5" t="e">
            <v>#VALUE!</v>
          </cell>
          <cell r="BK5">
            <v>139.69615506024417</v>
          </cell>
          <cell r="BL5">
            <v>23.472963553338605</v>
          </cell>
          <cell r="BM5">
            <v>120</v>
          </cell>
          <cell r="BN5">
            <v>20</v>
          </cell>
          <cell r="BO5">
            <v>206.00381711634748</v>
          </cell>
          <cell r="BP5">
            <v>37.034835891048481</v>
          </cell>
          <cell r="BQ5">
            <v>201.13244867485361</v>
          </cell>
          <cell r="BR5">
            <v>2.1533173771890013</v>
          </cell>
        </row>
        <row r="6">
          <cell r="G6" t="str">
            <v>AC</v>
          </cell>
          <cell r="H6">
            <v>268</v>
          </cell>
          <cell r="I6">
            <v>132.5</v>
          </cell>
          <cell r="AE6">
            <v>323.22412368378491</v>
          </cell>
          <cell r="AF6">
            <v>123.21042717031469</v>
          </cell>
          <cell r="AG6">
            <v>212.03928176177919</v>
          </cell>
          <cell r="AH6">
            <v>134.59714431131016</v>
          </cell>
          <cell r="AQ6">
            <v>92.08987683701902</v>
          </cell>
          <cell r="AR6">
            <v>33.517974045915537</v>
          </cell>
          <cell r="AS6">
            <v>286.17816590025745</v>
          </cell>
          <cell r="AT6">
            <v>-66.832224481961759</v>
          </cell>
          <cell r="AU6">
            <v>320.62278676401087</v>
          </cell>
          <cell r="AV6">
            <v>151.65312802623745</v>
          </cell>
          <cell r="AW6">
            <v>205.43687287244987</v>
          </cell>
          <cell r="AX6">
            <v>29.731129188389232</v>
          </cell>
          <cell r="AY6" t="e">
            <v>#VALUE!</v>
          </cell>
          <cell r="AZ6" t="e">
            <v>#VALUE!</v>
          </cell>
          <cell r="BA6" t="e">
            <v>#VALUE!</v>
          </cell>
          <cell r="BB6" t="e">
            <v>#VALUE!</v>
          </cell>
          <cell r="BC6" t="e">
            <v>#VALUE!</v>
          </cell>
          <cell r="BD6" t="e">
            <v>#VALUE!</v>
          </cell>
          <cell r="BE6" t="e">
            <v>#VALUE!</v>
          </cell>
          <cell r="BF6" t="e">
            <v>#VALUE!</v>
          </cell>
          <cell r="BG6" t="e">
            <v>#VALUE!</v>
          </cell>
          <cell r="BH6" t="e">
            <v>#VALUE!</v>
          </cell>
          <cell r="BI6" t="e">
            <v>#VALUE!</v>
          </cell>
          <cell r="BJ6" t="e">
            <v>#VALUE!</v>
          </cell>
          <cell r="BK6">
            <v>138.79385241571816</v>
          </cell>
          <cell r="BL6">
            <v>26.840402866513372</v>
          </cell>
          <cell r="BO6">
            <v>204.37064932975542</v>
          </cell>
          <cell r="BP6">
            <v>43.129901047894812</v>
          </cell>
          <cell r="BQ6">
            <v>199.49928088826155</v>
          </cell>
          <cell r="BR6">
            <v>8.2483825340353309</v>
          </cell>
        </row>
        <row r="7">
          <cell r="G7" t="str">
            <v>TEN</v>
          </cell>
          <cell r="H7">
            <v>171.42</v>
          </cell>
          <cell r="I7">
            <v>17.350000000000026</v>
          </cell>
          <cell r="AE7">
            <v>207.59460714684988</v>
          </cell>
          <cell r="AF7">
            <v>15.994345998760252</v>
          </cell>
          <cell r="AG7">
            <v>145.65356646511901</v>
          </cell>
          <cell r="AH7">
            <v>-8.0769719568131038</v>
          </cell>
          <cell r="AQ7">
            <v>84.870489570874994</v>
          </cell>
          <cell r="AR7">
            <v>48.999999999999993</v>
          </cell>
          <cell r="AS7">
            <v>283.3419780457009</v>
          </cell>
          <cell r="AT7">
            <v>-60.75</v>
          </cell>
          <cell r="AU7">
            <v>316.49742261192858</v>
          </cell>
          <cell r="AV7">
            <v>160.5</v>
          </cell>
          <cell r="AW7">
            <v>202.77011961699668</v>
          </cell>
          <cell r="AX7">
            <v>35.450000000000024</v>
          </cell>
          <cell r="AY7" t="e">
            <v>#VALUE!</v>
          </cell>
          <cell r="AZ7" t="e">
            <v>#VALUE!</v>
          </cell>
          <cell r="BA7" t="e">
            <v>#VALUE!</v>
          </cell>
          <cell r="BB7" t="e">
            <v>#VALUE!</v>
          </cell>
          <cell r="BC7" t="e">
            <v>#VALUE!</v>
          </cell>
          <cell r="BD7" t="e">
            <v>#VALUE!</v>
          </cell>
          <cell r="BE7" t="e">
            <v>#VALUE!</v>
          </cell>
          <cell r="BF7" t="e">
            <v>#VALUE!</v>
          </cell>
          <cell r="BG7" t="e">
            <v>#VALUE!</v>
          </cell>
          <cell r="BH7" t="e">
            <v>#VALUE!</v>
          </cell>
          <cell r="BI7" t="e">
            <v>#VALUE!</v>
          </cell>
          <cell r="BJ7" t="e">
            <v>#VALUE!</v>
          </cell>
          <cell r="BK7">
            <v>137.32050807568876</v>
          </cell>
          <cell r="BL7">
            <v>30</v>
          </cell>
          <cell r="BO7">
            <v>201.70389607430224</v>
          </cell>
          <cell r="BP7">
            <v>48.848771859505604</v>
          </cell>
          <cell r="BQ7">
            <v>196.83252763280836</v>
          </cell>
          <cell r="BR7">
            <v>13.967253345646121</v>
          </cell>
        </row>
        <row r="8">
          <cell r="G8" t="str"/>
          <cell r="H8" t="str">
            <v>0</v>
          </cell>
          <cell r="I8" t="str">
            <v>0</v>
          </cell>
          <cell r="AE8">
            <v>145.65356646511901</v>
          </cell>
          <cell r="AF8">
            <v>-8.0769719568131038</v>
          </cell>
          <cell r="AG8">
            <v>145.65356646511901</v>
          </cell>
          <cell r="AH8">
            <v>-8.0769719568131038</v>
          </cell>
          <cell r="AQ8">
            <v>75.07235542565985</v>
          </cell>
          <cell r="AR8">
            <v>62.993185749280848</v>
          </cell>
          <cell r="AS8">
            <v>279.49271106008064</v>
          </cell>
          <cell r="AT8">
            <v>-55.252677027068238</v>
          </cell>
          <cell r="AU8">
            <v>310.89848881466276</v>
          </cell>
          <cell r="AV8">
            <v>168.49610614244619</v>
          </cell>
          <cell r="AW8">
            <v>199.15080884090699</v>
          </cell>
          <cell r="AX8">
            <v>40.618911470652748</v>
          </cell>
          <cell r="AY8" t="e">
            <v>#VALUE!</v>
          </cell>
          <cell r="AZ8" t="e">
            <v>#VALUE!</v>
          </cell>
          <cell r="BA8" t="e">
            <v>#VALUE!</v>
          </cell>
          <cell r="BB8" t="e">
            <v>#VALUE!</v>
          </cell>
          <cell r="BC8" t="e">
            <v>#VALUE!</v>
          </cell>
          <cell r="BD8" t="e">
            <v>#VALUE!</v>
          </cell>
          <cell r="BE8" t="e">
            <v>#VALUE!</v>
          </cell>
          <cell r="BF8" t="e">
            <v>#VALUE!</v>
          </cell>
          <cell r="BG8" t="e">
            <v>#VALUE!</v>
          </cell>
          <cell r="BH8" t="e">
            <v>#VALUE!</v>
          </cell>
          <cell r="BI8" t="e">
            <v>#VALUE!</v>
          </cell>
          <cell r="BJ8" t="e">
            <v>#VALUE!</v>
          </cell>
          <cell r="BK8">
            <v>135.32088886237955</v>
          </cell>
          <cell r="BL8">
            <v>32.855752193730787</v>
          </cell>
          <cell r="BO8">
            <v>198.08458529821255</v>
          </cell>
          <cell r="BP8">
            <v>54.01768333015832</v>
          </cell>
          <cell r="BQ8">
            <v>193.21321685671867</v>
          </cell>
          <cell r="BR8">
            <v>19.136164816298844</v>
          </cell>
        </row>
        <row r="9">
          <cell r="G9" t="str"/>
          <cell r="H9" t="str">
            <v>0</v>
          </cell>
          <cell r="I9" t="str">
            <v>0</v>
          </cell>
          <cell r="AE9">
            <v>145.65356646511901</v>
          </cell>
          <cell r="AF9">
            <v>-8.0769719568131038</v>
          </cell>
          <cell r="AG9">
            <v>145.65356646511901</v>
          </cell>
          <cell r="AH9">
            <v>-8.0769719568131038</v>
          </cell>
          <cell r="AQ9">
            <v>62.993185749280855</v>
          </cell>
          <cell r="AR9">
            <v>75.07235542565985</v>
          </cell>
          <cell r="AS9">
            <v>274.74732297293178</v>
          </cell>
          <cell r="AT9">
            <v>-50.507288939919349</v>
          </cell>
          <cell r="AU9">
            <v>303.99610614244619</v>
          </cell>
          <cell r="AV9">
            <v>175.39848881466276</v>
          </cell>
          <cell r="AW9">
            <v>194.68891147065273</v>
          </cell>
          <cell r="AX9">
            <v>45.080808840907032</v>
          </cell>
          <cell r="AY9" t="e">
            <v>#VALUE!</v>
          </cell>
          <cell r="AZ9" t="e">
            <v>#VALUE!</v>
          </cell>
          <cell r="BA9" t="e">
            <v>#VALUE!</v>
          </cell>
          <cell r="BB9" t="e">
            <v>#VALUE!</v>
          </cell>
          <cell r="BC9" t="e">
            <v>#VALUE!</v>
          </cell>
          <cell r="BD9" t="e">
            <v>#VALUE!</v>
          </cell>
          <cell r="BE9" t="e">
            <v>#VALUE!</v>
          </cell>
          <cell r="BF9" t="e">
            <v>#VALUE!</v>
          </cell>
          <cell r="BG9" t="e">
            <v>#VALUE!</v>
          </cell>
          <cell r="BH9" t="e">
            <v>#VALUE!</v>
          </cell>
          <cell r="BI9" t="e">
            <v>#VALUE!</v>
          </cell>
          <cell r="BJ9" t="e">
            <v>#VALUE!</v>
          </cell>
          <cell r="BK9">
            <v>132.85575219373078</v>
          </cell>
          <cell r="BL9">
            <v>35.320888862379562</v>
          </cell>
          <cell r="BO9">
            <v>193.62268792795828</v>
          </cell>
          <cell r="BP9">
            <v>58.479580700412612</v>
          </cell>
          <cell r="BQ9">
            <v>188.75131948646441</v>
          </cell>
          <cell r="BR9">
            <v>23.598062186553129</v>
          </cell>
        </row>
        <row r="10">
          <cell r="G10" t="str"/>
          <cell r="H10" t="str">
            <v>0</v>
          </cell>
          <cell r="I10" t="str">
            <v>0</v>
          </cell>
          <cell r="AE10">
            <v>145.65356646511901</v>
          </cell>
          <cell r="AF10">
            <v>-8.0769719568131038</v>
          </cell>
          <cell r="AG10">
            <v>145.65356646511901</v>
          </cell>
          <cell r="AH10">
            <v>-8.0769719568131038</v>
          </cell>
          <cell r="AQ10">
            <v>49.000000000000014</v>
          </cell>
          <cell r="AR10">
            <v>84.87048957087498</v>
          </cell>
          <cell r="AS10">
            <v>269.25</v>
          </cell>
          <cell r="AT10">
            <v>-46.658021954299116</v>
          </cell>
          <cell r="AU10">
            <v>296</v>
          </cell>
          <cell r="AV10">
            <v>180.99742261192856</v>
          </cell>
          <cell r="AW10">
            <v>189.51999999999998</v>
          </cell>
          <cell r="AX10">
            <v>48.700119616996702</v>
          </cell>
          <cell r="AY10" t="e">
            <v>#VALUE!</v>
          </cell>
          <cell r="AZ10" t="e">
            <v>#VALUE!</v>
          </cell>
          <cell r="BA10" t="e">
            <v>#VALUE!</v>
          </cell>
          <cell r="BB10" t="e">
            <v>#VALUE!</v>
          </cell>
          <cell r="BC10" t="e">
            <v>#VALUE!</v>
          </cell>
          <cell r="BD10" t="e">
            <v>#VALUE!</v>
          </cell>
          <cell r="BE10" t="e">
            <v>#VALUE!</v>
          </cell>
          <cell r="BF10" t="e">
            <v>#VALUE!</v>
          </cell>
          <cell r="BG10" t="e">
            <v>#VALUE!</v>
          </cell>
          <cell r="BH10" t="e">
            <v>#VALUE!</v>
          </cell>
          <cell r="BI10" t="e">
            <v>#VALUE!</v>
          </cell>
          <cell r="BJ10" t="e">
            <v>#VALUE!</v>
          </cell>
          <cell r="BK10">
            <v>130</v>
          </cell>
          <cell r="BL10">
            <v>37.320508075688771</v>
          </cell>
          <cell r="BO10">
            <v>188.45377645730554</v>
          </cell>
          <cell r="BP10">
            <v>62.098891476502281</v>
          </cell>
          <cell r="BQ10">
            <v>183.58240801581167</v>
          </cell>
          <cell r="BR10">
            <v>27.217372962642802</v>
          </cell>
        </row>
        <row r="11">
          <cell r="G11" t="str"/>
          <cell r="H11" t="str">
            <v>0</v>
          </cell>
          <cell r="I11" t="str">
            <v>0</v>
          </cell>
          <cell r="AE11">
            <v>145.65356646511901</v>
          </cell>
          <cell r="AF11">
            <v>-8.0769719568131038</v>
          </cell>
          <cell r="AG11">
            <v>145.65356646511901</v>
          </cell>
          <cell r="AH11">
            <v>-8.0769719568131038</v>
          </cell>
          <cell r="AQ11">
            <v>33.517974045915544</v>
          </cell>
          <cell r="AR11">
            <v>92.08987683701902</v>
          </cell>
          <cell r="AS11">
            <v>263.16777551803824</v>
          </cell>
          <cell r="AT11">
            <v>-43.821834099742532</v>
          </cell>
          <cell r="AU11">
            <v>287.15312802623748</v>
          </cell>
          <cell r="AV11">
            <v>185.12278676401087</v>
          </cell>
          <cell r="AW11">
            <v>183.80112918838921</v>
          </cell>
          <cell r="AX11">
            <v>51.366872872449903</v>
          </cell>
          <cell r="AY11" t="e">
            <v>#VALUE!</v>
          </cell>
          <cell r="AZ11" t="e">
            <v>#VALUE!</v>
          </cell>
          <cell r="BA11" t="e">
            <v>#VALUE!</v>
          </cell>
          <cell r="BB11" t="e">
            <v>#VALUE!</v>
          </cell>
          <cell r="BC11" t="e">
            <v>#VALUE!</v>
          </cell>
          <cell r="BD11" t="e">
            <v>#VALUE!</v>
          </cell>
          <cell r="BE11" t="e">
            <v>#VALUE!</v>
          </cell>
          <cell r="BF11" t="e">
            <v>#VALUE!</v>
          </cell>
          <cell r="BG11" t="e">
            <v>#VALUE!</v>
          </cell>
          <cell r="BH11" t="e">
            <v>#VALUE!</v>
          </cell>
          <cell r="BI11" t="e">
            <v>#VALUE!</v>
          </cell>
          <cell r="BJ11" t="e">
            <v>#VALUE!</v>
          </cell>
          <cell r="BK11">
            <v>126.84040286651337</v>
          </cell>
          <cell r="BL11">
            <v>38.793852415718163</v>
          </cell>
          <cell r="BO11">
            <v>182.73490564569477</v>
          </cell>
          <cell r="BP11">
            <v>64.76564473195549</v>
          </cell>
          <cell r="BQ11">
            <v>177.8635372042009</v>
          </cell>
          <cell r="BR11">
            <v>29.884126218096004</v>
          </cell>
        </row>
        <row r="12">
          <cell r="G12" t="str"/>
          <cell r="H12" t="str">
            <v>0</v>
          </cell>
          <cell r="I12" t="str">
            <v>0</v>
          </cell>
          <cell r="AE12">
            <v>145.65356646511901</v>
          </cell>
          <cell r="AF12">
            <v>-8.0769719568131038</v>
          </cell>
          <cell r="AG12">
            <v>145.65356646511901</v>
          </cell>
          <cell r="AH12">
            <v>-8.0769719568131038</v>
          </cell>
          <cell r="AQ12">
            <v>17.01752141135918</v>
          </cell>
          <cell r="AR12">
            <v>96.511159795196392</v>
          </cell>
          <cell r="AS12">
            <v>256.68545484017682</v>
          </cell>
          <cell r="AT12">
            <v>-42.08490150902999</v>
          </cell>
          <cell r="AU12">
            <v>277.72429794934811</v>
          </cell>
          <cell r="AV12">
            <v>187.64923416868365</v>
          </cell>
          <cell r="AW12">
            <v>177.70606403154287</v>
          </cell>
          <cell r="AX12">
            <v>53.000040659041957</v>
          </cell>
          <cell r="AY12" t="e">
            <v>#VALUE!</v>
          </cell>
          <cell r="AZ12" t="e">
            <v>#VALUE!</v>
          </cell>
          <cell r="BA12" t="e">
            <v>#VALUE!</v>
          </cell>
          <cell r="BB12" t="e">
            <v>#VALUE!</v>
          </cell>
          <cell r="BC12" t="e">
            <v>#VALUE!</v>
          </cell>
          <cell r="BD12" t="e">
            <v>#VALUE!</v>
          </cell>
          <cell r="BE12" t="e">
            <v>#VALUE!</v>
          </cell>
          <cell r="BF12" t="e">
            <v>#VALUE!</v>
          </cell>
          <cell r="BG12" t="e">
            <v>#VALUE!</v>
          </cell>
          <cell r="BH12" t="e">
            <v>#VALUE!</v>
          </cell>
          <cell r="BI12" t="e">
            <v>#VALUE!</v>
          </cell>
          <cell r="BJ12" t="e">
            <v>#VALUE!</v>
          </cell>
          <cell r="BK12">
            <v>123.4729635533386</v>
          </cell>
          <cell r="BL12">
            <v>39.696155060244159</v>
          </cell>
          <cell r="BO12">
            <v>176.63984048884842</v>
          </cell>
          <cell r="BP12">
            <v>66.398812518547544</v>
          </cell>
          <cell r="BQ12">
            <v>171.76847204735455</v>
          </cell>
          <cell r="BR12">
            <v>31.517294004688058</v>
          </cell>
        </row>
        <row r="13">
          <cell r="G13" t="str"/>
          <cell r="H13" t="str">
            <v>0</v>
          </cell>
          <cell r="I13" t="str">
            <v>0</v>
          </cell>
          <cell r="AE13">
            <v>145.65356646511901</v>
          </cell>
          <cell r="AF13">
            <v>-8.0769719568131038</v>
          </cell>
          <cell r="AG13">
            <v>145.65356646511901</v>
          </cell>
          <cell r="AH13">
            <v>-8.0769719568131038</v>
          </cell>
          <cell r="AQ13">
            <v>6.0032274290522381E-15</v>
          </cell>
          <cell r="AR13">
            <v>98</v>
          </cell>
          <cell r="AS13">
            <v>250</v>
          </cell>
          <cell r="AT13">
            <v>-41.5</v>
          </cell>
          <cell r="AU13">
            <v>268</v>
          </cell>
          <cell r="AV13">
            <v>188.5</v>
          </cell>
          <cell r="AW13">
            <v>171.42</v>
          </cell>
          <cell r="AX13">
            <v>53.550000000000026</v>
          </cell>
          <cell r="AY13" t="e">
            <v>#VALUE!</v>
          </cell>
          <cell r="AZ13" t="e">
            <v>#VALUE!</v>
          </cell>
          <cell r="BA13" t="e">
            <v>#VALUE!</v>
          </cell>
          <cell r="BB13" t="e">
            <v>#VALUE!</v>
          </cell>
          <cell r="BC13" t="e">
            <v>#VALUE!</v>
          </cell>
          <cell r="BD13" t="e">
            <v>#VALUE!</v>
          </cell>
          <cell r="BE13" t="e">
            <v>#VALUE!</v>
          </cell>
          <cell r="BF13" t="e">
            <v>#VALUE!</v>
          </cell>
          <cell r="BG13" t="e">
            <v>#VALUE!</v>
          </cell>
          <cell r="BH13" t="e">
            <v>#VALUE!</v>
          </cell>
          <cell r="BI13" t="e">
            <v>#VALUE!</v>
          </cell>
          <cell r="BJ13" t="e">
            <v>#VALUE!</v>
          </cell>
          <cell r="BK13">
            <v>120</v>
          </cell>
          <cell r="BL13">
            <v>40</v>
          </cell>
          <cell r="BO13">
            <v>170.35377645730554</v>
          </cell>
          <cell r="BP13">
            <v>66.948771859505598</v>
          </cell>
          <cell r="BQ13">
            <v>165.48240801581167</v>
          </cell>
          <cell r="BR13">
            <v>32.067253345646122</v>
          </cell>
        </row>
        <row r="14">
          <cell r="AQ14">
            <v>-17.017521411359169</v>
          </cell>
          <cell r="AR14">
            <v>96.511159795196392</v>
          </cell>
          <cell r="AS14">
            <v>243.31454515982318</v>
          </cell>
          <cell r="AT14">
            <v>-42.08490150902999</v>
          </cell>
          <cell r="AU14">
            <v>258.27570205065189</v>
          </cell>
          <cell r="AV14">
            <v>187.64923416868365</v>
          </cell>
          <cell r="AW14">
            <v>165.13393596845711</v>
          </cell>
          <cell r="AX14">
            <v>53.000040659041957</v>
          </cell>
          <cell r="AY14" t="e">
            <v>#VALUE!</v>
          </cell>
          <cell r="AZ14" t="e">
            <v>#VALUE!</v>
          </cell>
          <cell r="BA14" t="e">
            <v>#VALUE!</v>
          </cell>
          <cell r="BB14" t="e">
            <v>#VALUE!</v>
          </cell>
          <cell r="BC14" t="e">
            <v>#VALUE!</v>
          </cell>
          <cell r="BD14" t="e">
            <v>#VALUE!</v>
          </cell>
          <cell r="BE14" t="e">
            <v>#VALUE!</v>
          </cell>
          <cell r="BF14" t="e">
            <v>#VALUE!</v>
          </cell>
          <cell r="BG14" t="e">
            <v>#VALUE!</v>
          </cell>
          <cell r="BH14" t="e">
            <v>#VALUE!</v>
          </cell>
          <cell r="BI14" t="e">
            <v>#VALUE!</v>
          </cell>
          <cell r="BJ14" t="e">
            <v>#VALUE!</v>
          </cell>
          <cell r="BK14">
            <v>116.5270364466614</v>
          </cell>
          <cell r="BL14">
            <v>39.696155060244159</v>
          </cell>
          <cell r="BO14">
            <v>164.06771242576266</v>
          </cell>
          <cell r="BP14">
            <v>66.398812518547544</v>
          </cell>
          <cell r="BQ14">
            <v>159.19634398426879</v>
          </cell>
          <cell r="BR14">
            <v>31.517294004688058</v>
          </cell>
        </row>
        <row r="15">
          <cell r="AE15">
            <v>69.754433326473347</v>
          </cell>
          <cell r="AF15">
            <v>68.835448943858751</v>
          </cell>
          <cell r="AQ15">
            <v>-33.517974045915537</v>
          </cell>
          <cell r="AR15">
            <v>92.08987683701902</v>
          </cell>
          <cell r="AS15">
            <v>236.83222448196176</v>
          </cell>
          <cell r="AT15">
            <v>-43.821834099742524</v>
          </cell>
          <cell r="AU15">
            <v>248.84687197376255</v>
          </cell>
          <cell r="AV15">
            <v>185.12278676401087</v>
          </cell>
          <cell r="AW15">
            <v>159.03887081161079</v>
          </cell>
          <cell r="AX15">
            <v>51.366872872449918</v>
          </cell>
          <cell r="AY15" t="e">
            <v>#VALUE!</v>
          </cell>
          <cell r="AZ15" t="e">
            <v>#VALUE!</v>
          </cell>
          <cell r="BA15" t="e">
            <v>#VALUE!</v>
          </cell>
          <cell r="BB15" t="e">
            <v>#VALUE!</v>
          </cell>
          <cell r="BC15" t="e">
            <v>#VALUE!</v>
          </cell>
          <cell r="BD15" t="e">
            <v>#VALUE!</v>
          </cell>
          <cell r="BE15" t="e">
            <v>#VALUE!</v>
          </cell>
          <cell r="BF15" t="e">
            <v>#VALUE!</v>
          </cell>
          <cell r="BG15" t="e">
            <v>#VALUE!</v>
          </cell>
          <cell r="BH15" t="e">
            <v>#VALUE!</v>
          </cell>
          <cell r="BI15" t="e">
            <v>#VALUE!</v>
          </cell>
          <cell r="BJ15" t="e">
            <v>#VALUE!</v>
          </cell>
          <cell r="BK15">
            <v>113.15959713348663</v>
          </cell>
          <cell r="BL15">
            <v>38.79385241571817</v>
          </cell>
          <cell r="BO15">
            <v>157.97264726891635</v>
          </cell>
          <cell r="BP15">
            <v>64.76564473195549</v>
          </cell>
          <cell r="BQ15">
            <v>153.10127882742248</v>
          </cell>
          <cell r="BR15">
            <v>29.884126218096011</v>
          </cell>
        </row>
        <row r="16">
          <cell r="AQ16">
            <v>-48.999999999999979</v>
          </cell>
          <cell r="AR16">
            <v>84.870489570874994</v>
          </cell>
          <cell r="AS16">
            <v>230.75</v>
          </cell>
          <cell r="AT16">
            <v>-46.658021954299109</v>
          </cell>
          <cell r="AU16">
            <v>240</v>
          </cell>
          <cell r="AV16">
            <v>180.99742261192858</v>
          </cell>
          <cell r="AW16">
            <v>153.32</v>
          </cell>
          <cell r="AX16">
            <v>48.700119616996709</v>
          </cell>
          <cell r="AY16" t="e">
            <v>#VALUE!</v>
          </cell>
          <cell r="AZ16" t="e">
            <v>#VALUE!</v>
          </cell>
          <cell r="BA16" t="e">
            <v>#VALUE!</v>
          </cell>
          <cell r="BB16" t="e">
            <v>#VALUE!</v>
          </cell>
          <cell r="BC16" t="e">
            <v>#VALUE!</v>
          </cell>
          <cell r="BD16" t="e">
            <v>#VALUE!</v>
          </cell>
          <cell r="BE16" t="e">
            <v>#VALUE!</v>
          </cell>
          <cell r="BF16" t="e">
            <v>#VALUE!</v>
          </cell>
          <cell r="BG16" t="e">
            <v>#VALUE!</v>
          </cell>
          <cell r="BH16" t="e">
            <v>#VALUE!</v>
          </cell>
          <cell r="BI16" t="e">
            <v>#VALUE!</v>
          </cell>
          <cell r="BJ16" t="e">
            <v>#VALUE!</v>
          </cell>
          <cell r="BK16">
            <v>110</v>
          </cell>
          <cell r="BL16">
            <v>37.320508075688778</v>
          </cell>
          <cell r="BO16">
            <v>152.25377645730555</v>
          </cell>
          <cell r="BP16">
            <v>62.098891476502288</v>
          </cell>
          <cell r="BQ16">
            <v>147.38240801581168</v>
          </cell>
          <cell r="BR16">
            <v>27.217372962642806</v>
          </cell>
        </row>
        <row r="17">
          <cell r="AQ17">
            <v>-62.993185749280855</v>
          </cell>
          <cell r="AR17">
            <v>75.07235542565985</v>
          </cell>
          <cell r="AS17">
            <v>225.25267702706824</v>
          </cell>
          <cell r="AT17">
            <v>-50.507288939919349</v>
          </cell>
          <cell r="AU17">
            <v>232.00389385755381</v>
          </cell>
          <cell r="AV17">
            <v>175.39848881466276</v>
          </cell>
          <cell r="AW17">
            <v>148.15108852934725</v>
          </cell>
          <cell r="AX17">
            <v>45.080808840907032</v>
          </cell>
          <cell r="AY17" t="e">
            <v>#VALUE!</v>
          </cell>
          <cell r="AZ17" t="e">
            <v>#VALUE!</v>
          </cell>
          <cell r="BA17" t="e">
            <v>#VALUE!</v>
          </cell>
          <cell r="BB17" t="e">
            <v>#VALUE!</v>
          </cell>
          <cell r="BC17" t="e">
            <v>#VALUE!</v>
          </cell>
          <cell r="BD17" t="e">
            <v>#VALUE!</v>
          </cell>
          <cell r="BE17" t="e">
            <v>#VALUE!</v>
          </cell>
          <cell r="BF17" t="e">
            <v>#VALUE!</v>
          </cell>
          <cell r="BG17" t="e">
            <v>#VALUE!</v>
          </cell>
          <cell r="BH17" t="e">
            <v>#VALUE!</v>
          </cell>
          <cell r="BI17" t="e">
            <v>#VALUE!</v>
          </cell>
          <cell r="BJ17" t="e">
            <v>#VALUE!</v>
          </cell>
          <cell r="BK17">
            <v>107.14424780626922</v>
          </cell>
          <cell r="BL17">
            <v>35.320888862379562</v>
          </cell>
          <cell r="BO17">
            <v>147.0848649866528</v>
          </cell>
          <cell r="BP17">
            <v>58.479580700412612</v>
          </cell>
          <cell r="BQ17">
            <v>142.21349654515893</v>
          </cell>
          <cell r="BR17">
            <v>23.598062186553129</v>
          </cell>
        </row>
        <row r="18">
          <cell r="AQ18">
            <v>-75.072355425659836</v>
          </cell>
          <cell r="AR18">
            <v>62.993185749280869</v>
          </cell>
          <cell r="AS18">
            <v>220.50728893991936</v>
          </cell>
          <cell r="AT18">
            <v>-55.252677027068231</v>
          </cell>
          <cell r="AU18">
            <v>225.10151118533724</v>
          </cell>
          <cell r="AV18">
            <v>168.49610614244619</v>
          </cell>
          <cell r="AW18">
            <v>143.68919115909299</v>
          </cell>
          <cell r="AX18">
            <v>40.618911470652762</v>
          </cell>
          <cell r="AY18" t="e">
            <v>#VALUE!</v>
          </cell>
          <cell r="AZ18" t="e">
            <v>#VALUE!</v>
          </cell>
          <cell r="BA18" t="e">
            <v>#VALUE!</v>
          </cell>
          <cell r="BB18" t="e">
            <v>#VALUE!</v>
          </cell>
          <cell r="BC18" t="e">
            <v>#VALUE!</v>
          </cell>
          <cell r="BD18" t="e">
            <v>#VALUE!</v>
          </cell>
          <cell r="BE18" t="e">
            <v>#VALUE!</v>
          </cell>
          <cell r="BF18" t="e">
            <v>#VALUE!</v>
          </cell>
          <cell r="BG18" t="e">
            <v>#VALUE!</v>
          </cell>
          <cell r="BH18" t="e">
            <v>#VALUE!</v>
          </cell>
          <cell r="BI18" t="e">
            <v>#VALUE!</v>
          </cell>
          <cell r="BJ18" t="e">
            <v>#VALUE!</v>
          </cell>
          <cell r="BK18">
            <v>104.67911113762044</v>
          </cell>
          <cell r="BL18">
            <v>32.855752193730794</v>
          </cell>
          <cell r="BO18">
            <v>142.62296761639854</v>
          </cell>
          <cell r="BP18">
            <v>54.017683330158334</v>
          </cell>
          <cell r="BQ18">
            <v>137.75159917490467</v>
          </cell>
          <cell r="BR18">
            <v>19.136164816298855</v>
          </cell>
        </row>
        <row r="19">
          <cell r="AQ19">
            <v>-84.870489570874994</v>
          </cell>
          <cell r="AR19">
            <v>48.999999999999993</v>
          </cell>
          <cell r="AS19">
            <v>216.6580219542991</v>
          </cell>
          <cell r="AT19">
            <v>-60.75</v>
          </cell>
          <cell r="AU19">
            <v>219.50257738807142</v>
          </cell>
          <cell r="AV19">
            <v>160.5</v>
          </cell>
          <cell r="AW19">
            <v>140.06988038300329</v>
          </cell>
          <cell r="AX19">
            <v>35.450000000000024</v>
          </cell>
          <cell r="AY19" t="e">
            <v>#VALUE!</v>
          </cell>
          <cell r="AZ19" t="e">
            <v>#VALUE!</v>
          </cell>
          <cell r="BA19" t="e">
            <v>#VALUE!</v>
          </cell>
          <cell r="BB19" t="e">
            <v>#VALUE!</v>
          </cell>
          <cell r="BC19" t="e">
            <v>#VALUE!</v>
          </cell>
          <cell r="BD19" t="e">
            <v>#VALUE!</v>
          </cell>
          <cell r="BE19" t="e">
            <v>#VALUE!</v>
          </cell>
          <cell r="BF19" t="e">
            <v>#VALUE!</v>
          </cell>
          <cell r="BG19" t="e">
            <v>#VALUE!</v>
          </cell>
          <cell r="BH19" t="e">
            <v>#VALUE!</v>
          </cell>
          <cell r="BI19" t="e">
            <v>#VALUE!</v>
          </cell>
          <cell r="BJ19" t="e">
            <v>#VALUE!</v>
          </cell>
          <cell r="BK19">
            <v>102.67949192431122</v>
          </cell>
          <cell r="BL19">
            <v>30</v>
          </cell>
          <cell r="BO19">
            <v>139.00365684030885</v>
          </cell>
          <cell r="BP19">
            <v>48.848771859505604</v>
          </cell>
          <cell r="BQ19">
            <v>134.13228839881498</v>
          </cell>
          <cell r="BR19">
            <v>13.967253345646121</v>
          </cell>
        </row>
        <row r="20">
          <cell r="AQ20">
            <v>-92.08987683701902</v>
          </cell>
          <cell r="AR20">
            <v>33.517974045915551</v>
          </cell>
          <cell r="AS20">
            <v>213.82183409974255</v>
          </cell>
          <cell r="AT20">
            <v>-66.832224481961745</v>
          </cell>
          <cell r="AU20">
            <v>215.37721323598913</v>
          </cell>
          <cell r="AV20">
            <v>151.65312802623745</v>
          </cell>
          <cell r="AW20">
            <v>137.40312712755011</v>
          </cell>
          <cell r="AX20">
            <v>29.731129188389239</v>
          </cell>
          <cell r="AY20" t="e">
            <v>#VALUE!</v>
          </cell>
          <cell r="AZ20" t="e">
            <v>#VALUE!</v>
          </cell>
          <cell r="BA20" t="e">
            <v>#VALUE!</v>
          </cell>
          <cell r="BB20" t="e">
            <v>#VALUE!</v>
          </cell>
          <cell r="BC20" t="e">
            <v>#VALUE!</v>
          </cell>
          <cell r="BD20" t="e">
            <v>#VALUE!</v>
          </cell>
          <cell r="BE20" t="e">
            <v>#VALUE!</v>
          </cell>
          <cell r="BF20" t="e">
            <v>#VALUE!</v>
          </cell>
          <cell r="BG20" t="e">
            <v>#VALUE!</v>
          </cell>
          <cell r="BH20" t="e">
            <v>#VALUE!</v>
          </cell>
          <cell r="BI20" t="e">
            <v>#VALUE!</v>
          </cell>
          <cell r="BJ20" t="e">
            <v>#VALUE!</v>
          </cell>
          <cell r="BK20">
            <v>101.20614758428184</v>
          </cell>
          <cell r="BL20">
            <v>26.840402866513379</v>
          </cell>
          <cell r="BO20">
            <v>136.33690358485566</v>
          </cell>
          <cell r="BP20">
            <v>43.129901047894819</v>
          </cell>
          <cell r="BQ20">
            <v>131.46553514336179</v>
          </cell>
          <cell r="BR20">
            <v>8.2483825340353381</v>
          </cell>
        </row>
        <row r="21">
          <cell r="AQ21">
            <v>-96.511159795196392</v>
          </cell>
          <cell r="AR21">
            <v>17.017521411359208</v>
          </cell>
          <cell r="AS21">
            <v>212.08490150902998</v>
          </cell>
          <cell r="AT21">
            <v>-73.314545159823169</v>
          </cell>
          <cell r="AU21">
            <v>212.85076583131635</v>
          </cell>
          <cell r="AV21">
            <v>142.22429794934811</v>
          </cell>
          <cell r="AW21">
            <v>135.76995934095805</v>
          </cell>
          <cell r="AX21">
            <v>23.636064031542919</v>
          </cell>
          <cell r="AY21" t="e">
            <v>#VALUE!</v>
          </cell>
          <cell r="AZ21" t="e">
            <v>#VALUE!</v>
          </cell>
          <cell r="BA21" t="e">
            <v>#VALUE!</v>
          </cell>
          <cell r="BB21" t="e">
            <v>#VALUE!</v>
          </cell>
          <cell r="BC21" t="e">
            <v>#VALUE!</v>
          </cell>
          <cell r="BD21" t="e">
            <v>#VALUE!</v>
          </cell>
          <cell r="BE21" t="e">
            <v>#VALUE!</v>
          </cell>
          <cell r="BF21" t="e">
            <v>#VALUE!</v>
          </cell>
          <cell r="BG21" t="e">
            <v>#VALUE!</v>
          </cell>
          <cell r="BH21" t="e">
            <v>#VALUE!</v>
          </cell>
          <cell r="BI21" t="e">
            <v>#VALUE!</v>
          </cell>
          <cell r="BJ21" t="e">
            <v>#VALUE!</v>
          </cell>
          <cell r="BK21">
            <v>100.30384493975583</v>
          </cell>
          <cell r="BL21">
            <v>23.472963553338616</v>
          </cell>
          <cell r="BO21">
            <v>134.70373579826361</v>
          </cell>
          <cell r="BP21">
            <v>37.034835891048495</v>
          </cell>
          <cell r="BQ21">
            <v>129.83236735676974</v>
          </cell>
          <cell r="BR21">
            <v>2.1533173771890146</v>
          </cell>
        </row>
        <row r="22">
          <cell r="AQ22">
            <v>-98</v>
          </cell>
          <cell r="AR22">
            <v>1.2006454858104476E-14</v>
          </cell>
          <cell r="AS22">
            <v>211.5</v>
          </cell>
          <cell r="AT22">
            <v>-80</v>
          </cell>
          <cell r="AU22">
            <v>212</v>
          </cell>
          <cell r="AV22">
            <v>132.5</v>
          </cell>
          <cell r="AW22">
            <v>135.21999999999997</v>
          </cell>
          <cell r="AX22">
            <v>17.35000000000003</v>
          </cell>
          <cell r="AY22" t="e">
            <v>#VALUE!</v>
          </cell>
          <cell r="AZ22" t="e">
            <v>#VALUE!</v>
          </cell>
          <cell r="BA22" t="e">
            <v>#VALUE!</v>
          </cell>
          <cell r="BB22" t="e">
            <v>#VALUE!</v>
          </cell>
          <cell r="BC22" t="e">
            <v>#VALUE!</v>
          </cell>
          <cell r="BD22" t="e">
            <v>#VALUE!</v>
          </cell>
          <cell r="BE22" t="e">
            <v>#VALUE!</v>
          </cell>
          <cell r="BF22" t="e">
            <v>#VALUE!</v>
          </cell>
          <cell r="BG22" t="e">
            <v>#VALUE!</v>
          </cell>
          <cell r="BH22" t="e">
            <v>#VALUE!</v>
          </cell>
          <cell r="BI22" t="e">
            <v>#VALUE!</v>
          </cell>
          <cell r="BJ22" t="e">
            <v>#VALUE!</v>
          </cell>
          <cell r="BK22">
            <v>100</v>
          </cell>
          <cell r="BL22">
            <v>20.000000000000004</v>
          </cell>
          <cell r="BO22">
            <v>134.15377645730553</v>
          </cell>
          <cell r="BP22">
            <v>30.748771859505606</v>
          </cell>
          <cell r="BQ22">
            <v>129.28240801581165</v>
          </cell>
          <cell r="BR22">
            <v>-4.1327466543538725</v>
          </cell>
        </row>
        <row r="23">
          <cell r="AQ23">
            <v>-96.511159795196392</v>
          </cell>
          <cell r="AR23">
            <v>-17.017521411359187</v>
          </cell>
          <cell r="AS23">
            <v>212.08490150902998</v>
          </cell>
          <cell r="AT23">
            <v>-86.685454840176817</v>
          </cell>
          <cell r="AU23">
            <v>212.85076583131635</v>
          </cell>
          <cell r="AV23">
            <v>122.77570205065189</v>
          </cell>
          <cell r="AW23">
            <v>135.76995934095805</v>
          </cell>
          <cell r="AX23">
            <v>11.063935968457143</v>
          </cell>
          <cell r="AY23" t="e">
            <v>#VALUE!</v>
          </cell>
          <cell r="AZ23" t="e">
            <v>#VALUE!</v>
          </cell>
          <cell r="BA23" t="e">
            <v>#VALUE!</v>
          </cell>
          <cell r="BB23" t="e">
            <v>#VALUE!</v>
          </cell>
          <cell r="BC23" t="e">
            <v>#VALUE!</v>
          </cell>
          <cell r="BD23" t="e">
            <v>#VALUE!</v>
          </cell>
          <cell r="BE23" t="e">
            <v>#VALUE!</v>
          </cell>
          <cell r="BF23" t="e">
            <v>#VALUE!</v>
          </cell>
          <cell r="BG23" t="e">
            <v>#VALUE!</v>
          </cell>
          <cell r="BH23" t="e">
            <v>#VALUE!</v>
          </cell>
          <cell r="BI23" t="e">
            <v>#VALUE!</v>
          </cell>
          <cell r="BJ23" t="e">
            <v>#VALUE!</v>
          </cell>
          <cell r="BK23">
            <v>100.30384493975583</v>
          </cell>
          <cell r="BL23">
            <v>16.527036446661391</v>
          </cell>
          <cell r="BO23">
            <v>134.70373579826361</v>
          </cell>
          <cell r="BP23">
            <v>24.462707827962717</v>
          </cell>
          <cell r="BQ23">
            <v>129.83236735676974</v>
          </cell>
          <cell r="BR23">
            <v>-10.41881068589676</v>
          </cell>
        </row>
        <row r="24">
          <cell r="AQ24">
            <v>-92.08987683701902</v>
          </cell>
          <cell r="AR24">
            <v>-33.51797404591553</v>
          </cell>
          <cell r="AS24">
            <v>213.82183409974252</v>
          </cell>
          <cell r="AT24">
            <v>-93.167775518038241</v>
          </cell>
          <cell r="AU24">
            <v>215.37721323598913</v>
          </cell>
          <cell r="AV24">
            <v>113.34687197376255</v>
          </cell>
          <cell r="AW24">
            <v>137.40312712755011</v>
          </cell>
          <cell r="AX24">
            <v>4.9688708116108202</v>
          </cell>
          <cell r="AY24" t="e">
            <v>#VALUE!</v>
          </cell>
          <cell r="AZ24" t="e">
            <v>#VALUE!</v>
          </cell>
          <cell r="BA24" t="e">
            <v>#VALUE!</v>
          </cell>
          <cell r="BB24" t="e">
            <v>#VALUE!</v>
          </cell>
          <cell r="BC24" t="e">
            <v>#VALUE!</v>
          </cell>
          <cell r="BD24" t="e">
            <v>#VALUE!</v>
          </cell>
          <cell r="BE24" t="e">
            <v>#VALUE!</v>
          </cell>
          <cell r="BF24" t="e">
            <v>#VALUE!</v>
          </cell>
          <cell r="BG24" t="e">
            <v>#VALUE!</v>
          </cell>
          <cell r="BH24" t="e">
            <v>#VALUE!</v>
          </cell>
          <cell r="BI24" t="e">
            <v>#VALUE!</v>
          </cell>
          <cell r="BJ24" t="e">
            <v>#VALUE!</v>
          </cell>
          <cell r="BK24">
            <v>101.20614758428184</v>
          </cell>
          <cell r="BL24">
            <v>13.159597133486628</v>
          </cell>
          <cell r="BO24">
            <v>136.33690358485566</v>
          </cell>
          <cell r="BP24">
            <v>18.367642671116396</v>
          </cell>
          <cell r="BQ24">
            <v>131.46553514336179</v>
          </cell>
          <cell r="BR24">
            <v>-16.513875842743083</v>
          </cell>
        </row>
        <row r="25">
          <cell r="AQ25">
            <v>-84.87048957087498</v>
          </cell>
          <cell r="AR25">
            <v>-49.000000000000014</v>
          </cell>
          <cell r="AS25">
            <v>216.6580219542991</v>
          </cell>
          <cell r="AT25">
            <v>-99.25</v>
          </cell>
          <cell r="AU25">
            <v>219.50257738807144</v>
          </cell>
          <cell r="AV25">
            <v>104.5</v>
          </cell>
          <cell r="AW25">
            <v>140.06988038300329</v>
          </cell>
          <cell r="AX25">
            <v>-0.74999999999997868</v>
          </cell>
          <cell r="AY25" t="e">
            <v>#VALUE!</v>
          </cell>
          <cell r="AZ25" t="e">
            <v>#VALUE!</v>
          </cell>
          <cell r="BA25" t="e">
            <v>#VALUE!</v>
          </cell>
          <cell r="BB25" t="e">
            <v>#VALUE!</v>
          </cell>
          <cell r="BC25" t="e">
            <v>#VALUE!</v>
          </cell>
          <cell r="BD25" t="e">
            <v>#VALUE!</v>
          </cell>
          <cell r="BE25" t="e">
            <v>#VALUE!</v>
          </cell>
          <cell r="BF25" t="e">
            <v>#VALUE!</v>
          </cell>
          <cell r="BG25" t="e">
            <v>#VALUE!</v>
          </cell>
          <cell r="BH25" t="e">
            <v>#VALUE!</v>
          </cell>
          <cell r="BI25" t="e">
            <v>#VALUE!</v>
          </cell>
          <cell r="BJ25" t="e">
            <v>#VALUE!</v>
          </cell>
          <cell r="BK25">
            <v>102.67949192431124</v>
          </cell>
          <cell r="BL25">
            <v>9.9999999999999982</v>
          </cell>
          <cell r="BO25">
            <v>139.00365684030885</v>
          </cell>
          <cell r="BP25">
            <v>12.648771859505597</v>
          </cell>
          <cell r="BQ25">
            <v>134.13228839881498</v>
          </cell>
          <cell r="BR25">
            <v>-22.232746654353882</v>
          </cell>
        </row>
        <row r="26">
          <cell r="AQ26">
            <v>-75.07235542565985</v>
          </cell>
          <cell r="AR26">
            <v>-62.993185749280848</v>
          </cell>
          <cell r="AS26">
            <v>220.50728893991933</v>
          </cell>
          <cell r="AT26">
            <v>-104.74732297293176</v>
          </cell>
          <cell r="AU26">
            <v>225.10151118533724</v>
          </cell>
          <cell r="AV26">
            <v>96.503893857553805</v>
          </cell>
          <cell r="AW26">
            <v>143.68919115909299</v>
          </cell>
          <cell r="AX26">
            <v>-5.9189114706526951</v>
          </cell>
          <cell r="AY26" t="e">
            <v>#VALUE!</v>
          </cell>
          <cell r="AZ26" t="e">
            <v>#VALUE!</v>
          </cell>
          <cell r="BA26" t="e">
            <v>#VALUE!</v>
          </cell>
          <cell r="BB26" t="e">
            <v>#VALUE!</v>
          </cell>
          <cell r="BC26" t="e">
            <v>#VALUE!</v>
          </cell>
          <cell r="BD26" t="e">
            <v>#VALUE!</v>
          </cell>
          <cell r="BE26" t="e">
            <v>#VALUE!</v>
          </cell>
          <cell r="BF26" t="e">
            <v>#VALUE!</v>
          </cell>
          <cell r="BG26" t="e">
            <v>#VALUE!</v>
          </cell>
          <cell r="BH26" t="e">
            <v>#VALUE!</v>
          </cell>
          <cell r="BI26" t="e">
            <v>#VALUE!</v>
          </cell>
          <cell r="BJ26" t="e">
            <v>#VALUE!</v>
          </cell>
          <cell r="BK26">
            <v>104.67911113762044</v>
          </cell>
          <cell r="BL26">
            <v>7.144247806269215</v>
          </cell>
          <cell r="BO26">
            <v>142.62296761639854</v>
          </cell>
          <cell r="BP26">
            <v>7.479860388852881</v>
          </cell>
          <cell r="BQ26">
            <v>137.75159917490467</v>
          </cell>
          <cell r="BR26">
            <v>-27.401658125006598</v>
          </cell>
        </row>
        <row r="27">
          <cell r="AQ27">
            <v>-62.993185749280869</v>
          </cell>
          <cell r="AR27">
            <v>-75.072355425659836</v>
          </cell>
          <cell r="AS27">
            <v>225.25267702706822</v>
          </cell>
          <cell r="AT27">
            <v>-109.49271106008065</v>
          </cell>
          <cell r="AU27">
            <v>232.00389385755381</v>
          </cell>
          <cell r="AV27">
            <v>89.601511185337245</v>
          </cell>
          <cell r="AW27">
            <v>148.15108852934725</v>
          </cell>
          <cell r="AX27">
            <v>-10.380808840906976</v>
          </cell>
          <cell r="AY27" t="e">
            <v>#VALUE!</v>
          </cell>
          <cell r="AZ27" t="e">
            <v>#VALUE!</v>
          </cell>
          <cell r="BA27" t="e">
            <v>#VALUE!</v>
          </cell>
          <cell r="BB27" t="e">
            <v>#VALUE!</v>
          </cell>
          <cell r="BC27" t="e">
            <v>#VALUE!</v>
          </cell>
          <cell r="BD27" t="e">
            <v>#VALUE!</v>
          </cell>
          <cell r="BE27" t="e">
            <v>#VALUE!</v>
          </cell>
          <cell r="BF27" t="e">
            <v>#VALUE!</v>
          </cell>
          <cell r="BG27" t="e">
            <v>#VALUE!</v>
          </cell>
          <cell r="BH27" t="e">
            <v>#VALUE!</v>
          </cell>
          <cell r="BI27" t="e">
            <v>#VALUE!</v>
          </cell>
          <cell r="BJ27" t="e">
            <v>#VALUE!</v>
          </cell>
          <cell r="BK27">
            <v>107.14424780626921</v>
          </cell>
          <cell r="BL27">
            <v>4.679111137620442</v>
          </cell>
          <cell r="BO27">
            <v>147.0848649866528</v>
          </cell>
          <cell r="BP27">
            <v>3.0179630185985999</v>
          </cell>
          <cell r="BQ27">
            <v>142.21349654515893</v>
          </cell>
          <cell r="BR27">
            <v>-31.863555495260879</v>
          </cell>
        </row>
        <row r="28">
          <cell r="AQ28">
            <v>-49.000000000000043</v>
          </cell>
          <cell r="AR28">
            <v>-84.870489570874966</v>
          </cell>
          <cell r="AS28">
            <v>230.74999999999997</v>
          </cell>
          <cell r="AT28">
            <v>-113.34197804570087</v>
          </cell>
          <cell r="AU28">
            <v>239.99999999999997</v>
          </cell>
          <cell r="AV28">
            <v>84.002577388071444</v>
          </cell>
          <cell r="AW28">
            <v>153.31999999999996</v>
          </cell>
          <cell r="AX28">
            <v>-14.000119616996646</v>
          </cell>
          <cell r="AY28" t="e">
            <v>#VALUE!</v>
          </cell>
          <cell r="AZ28" t="e">
            <v>#VALUE!</v>
          </cell>
          <cell r="BA28" t="e">
            <v>#VALUE!</v>
          </cell>
          <cell r="BB28" t="e">
            <v>#VALUE!</v>
          </cell>
          <cell r="BC28" t="e">
            <v>#VALUE!</v>
          </cell>
          <cell r="BD28" t="e">
            <v>#VALUE!</v>
          </cell>
          <cell r="BE28" t="e">
            <v>#VALUE!</v>
          </cell>
          <cell r="BF28" t="e">
            <v>#VALUE!</v>
          </cell>
          <cell r="BG28" t="e">
            <v>#VALUE!</v>
          </cell>
          <cell r="BH28" t="e">
            <v>#VALUE!</v>
          </cell>
          <cell r="BI28" t="e">
            <v>#VALUE!</v>
          </cell>
          <cell r="BJ28" t="e">
            <v>#VALUE!</v>
          </cell>
          <cell r="BK28">
            <v>109.99999999999999</v>
          </cell>
          <cell r="BL28">
            <v>2.6794919243112325</v>
          </cell>
          <cell r="BO28">
            <v>152.25377645730552</v>
          </cell>
          <cell r="BP28">
            <v>-0.6013477574910695</v>
          </cell>
          <cell r="BQ28">
            <v>147.38240801581165</v>
          </cell>
          <cell r="BR28">
            <v>-35.482866271350545</v>
          </cell>
        </row>
        <row r="29">
          <cell r="AQ29">
            <v>-33.517974045915601</v>
          </cell>
          <cell r="AR29">
            <v>-92.089876837019006</v>
          </cell>
          <cell r="AS29">
            <v>236.83222448196173</v>
          </cell>
          <cell r="AT29">
            <v>-116.17816590025747</v>
          </cell>
          <cell r="AU29">
            <v>248.84687197376252</v>
          </cell>
          <cell r="AV29">
            <v>79.877213235989132</v>
          </cell>
          <cell r="AW29">
            <v>159.03887081161076</v>
          </cell>
          <cell r="AX29">
            <v>-16.666872872449854</v>
          </cell>
          <cell r="AY29" t="e">
            <v>#VALUE!</v>
          </cell>
          <cell r="AZ29" t="e">
            <v>#VALUE!</v>
          </cell>
          <cell r="BA29" t="e">
            <v>#VALUE!</v>
          </cell>
          <cell r="BB29" t="e">
            <v>#VALUE!</v>
          </cell>
          <cell r="BC29" t="e">
            <v>#VALUE!</v>
          </cell>
          <cell r="BD29" t="e">
            <v>#VALUE!</v>
          </cell>
          <cell r="BE29" t="e">
            <v>#VALUE!</v>
          </cell>
          <cell r="BF29" t="e">
            <v>#VALUE!</v>
          </cell>
          <cell r="BG29" t="e">
            <v>#VALUE!</v>
          </cell>
          <cell r="BH29" t="e">
            <v>#VALUE!</v>
          </cell>
          <cell r="BI29" t="e">
            <v>#VALUE!</v>
          </cell>
          <cell r="BJ29" t="e">
            <v>#VALUE!</v>
          </cell>
          <cell r="BK29">
            <v>113.15959713348661</v>
          </cell>
          <cell r="BL29">
            <v>1.2061475842818368</v>
          </cell>
          <cell r="BO29">
            <v>157.97264726891632</v>
          </cell>
          <cell r="BP29">
            <v>-3.2681010129442782</v>
          </cell>
          <cell r="BQ29">
            <v>153.10127882742245</v>
          </cell>
          <cell r="BR29">
            <v>-38.149619526803761</v>
          </cell>
        </row>
        <row r="30">
          <cell r="AQ30">
            <v>-17.017521411359173</v>
          </cell>
          <cell r="AR30">
            <v>-96.511159795196392</v>
          </cell>
          <cell r="AS30">
            <v>243.31454515982318</v>
          </cell>
          <cell r="AT30">
            <v>-117.91509849097001</v>
          </cell>
          <cell r="AU30">
            <v>258.27570205065189</v>
          </cell>
          <cell r="AV30">
            <v>77.350765831316352</v>
          </cell>
          <cell r="AW30">
            <v>165.13393596845711</v>
          </cell>
          <cell r="AX30">
            <v>-18.300040659041908</v>
          </cell>
          <cell r="AY30" t="e">
            <v>#VALUE!</v>
          </cell>
          <cell r="AZ30" t="e">
            <v>#VALUE!</v>
          </cell>
          <cell r="BA30" t="e">
            <v>#VALUE!</v>
          </cell>
          <cell r="BB30" t="e">
            <v>#VALUE!</v>
          </cell>
          <cell r="BC30" t="e">
            <v>#VALUE!</v>
          </cell>
          <cell r="BD30" t="e">
            <v>#VALUE!</v>
          </cell>
          <cell r="BE30" t="e">
            <v>#VALUE!</v>
          </cell>
          <cell r="BF30" t="e">
            <v>#VALUE!</v>
          </cell>
          <cell r="BG30" t="e">
            <v>#VALUE!</v>
          </cell>
          <cell r="BH30" t="e">
            <v>#VALUE!</v>
          </cell>
          <cell r="BI30" t="e">
            <v>#VALUE!</v>
          </cell>
          <cell r="BJ30" t="e">
            <v>#VALUE!</v>
          </cell>
          <cell r="BK30">
            <v>116.5270364466614</v>
          </cell>
          <cell r="BL30">
            <v>0.30384493975584093</v>
          </cell>
          <cell r="BO30">
            <v>164.06771242576266</v>
          </cell>
          <cell r="BP30">
            <v>-4.9012687995363322</v>
          </cell>
          <cell r="BQ30">
            <v>159.19634398426879</v>
          </cell>
          <cell r="BR30">
            <v>-39.782787313395815</v>
          </cell>
        </row>
        <row r="31">
          <cell r="AQ31">
            <v>-1.8009682287156714E-14</v>
          </cell>
          <cell r="AR31">
            <v>-98</v>
          </cell>
          <cell r="AS31">
            <v>250</v>
          </cell>
          <cell r="AT31">
            <v>-118.5</v>
          </cell>
          <cell r="AU31">
            <v>268</v>
          </cell>
          <cell r="AV31">
            <v>76.5</v>
          </cell>
          <cell r="AW31">
            <v>171.42</v>
          </cell>
          <cell r="AX31">
            <v>-18.849999999999977</v>
          </cell>
          <cell r="AY31" t="e">
            <v>#VALUE!</v>
          </cell>
          <cell r="AZ31" t="e">
            <v>#VALUE!</v>
          </cell>
          <cell r="BA31" t="e">
            <v>#VALUE!</v>
          </cell>
          <cell r="BB31" t="e">
            <v>#VALUE!</v>
          </cell>
          <cell r="BC31" t="e">
            <v>#VALUE!</v>
          </cell>
          <cell r="BD31" t="e">
            <v>#VALUE!</v>
          </cell>
          <cell r="BE31" t="e">
            <v>#VALUE!</v>
          </cell>
          <cell r="BF31" t="e">
            <v>#VALUE!</v>
          </cell>
          <cell r="BG31" t="e">
            <v>#VALUE!</v>
          </cell>
          <cell r="BH31" t="e">
            <v>#VALUE!</v>
          </cell>
          <cell r="BI31" t="e">
            <v>#VALUE!</v>
          </cell>
          <cell r="BJ31" t="e">
            <v>#VALUE!</v>
          </cell>
          <cell r="BK31">
            <v>120</v>
          </cell>
          <cell r="BL31">
            <v>0</v>
          </cell>
          <cell r="BO31">
            <v>170.35377645730554</v>
          </cell>
          <cell r="BP31">
            <v>-5.4512281404944005</v>
          </cell>
          <cell r="BQ31">
            <v>165.48240801581167</v>
          </cell>
          <cell r="BR31">
            <v>-40.332746654353883</v>
          </cell>
        </row>
        <row r="32">
          <cell r="AQ32">
            <v>17.017521411359137</v>
          </cell>
          <cell r="AR32">
            <v>-96.511159795196392</v>
          </cell>
          <cell r="AS32">
            <v>256.68545484017682</v>
          </cell>
          <cell r="AT32">
            <v>-117.91509849097001</v>
          </cell>
          <cell r="AU32">
            <v>277.72429794934806</v>
          </cell>
          <cell r="AV32">
            <v>77.350765831316352</v>
          </cell>
          <cell r="AW32">
            <v>177.70606403154287</v>
          </cell>
          <cell r="AX32">
            <v>-18.300040659041908</v>
          </cell>
          <cell r="AY32" t="e">
            <v>#VALUE!</v>
          </cell>
          <cell r="AZ32" t="e">
            <v>#VALUE!</v>
          </cell>
          <cell r="BA32" t="e">
            <v>#VALUE!</v>
          </cell>
          <cell r="BB32" t="e">
            <v>#VALUE!</v>
          </cell>
          <cell r="BC32" t="e">
            <v>#VALUE!</v>
          </cell>
          <cell r="BD32" t="e">
            <v>#VALUE!</v>
          </cell>
          <cell r="BE32" t="e">
            <v>#VALUE!</v>
          </cell>
          <cell r="BF32" t="e">
            <v>#VALUE!</v>
          </cell>
          <cell r="BG32" t="e">
            <v>#VALUE!</v>
          </cell>
          <cell r="BH32" t="e">
            <v>#VALUE!</v>
          </cell>
          <cell r="BI32" t="e">
            <v>#VALUE!</v>
          </cell>
          <cell r="BJ32" t="e">
            <v>#VALUE!</v>
          </cell>
          <cell r="BK32">
            <v>123.4729635533386</v>
          </cell>
          <cell r="BL32">
            <v>0.30384493975583737</v>
          </cell>
          <cell r="BO32">
            <v>176.63984048884842</v>
          </cell>
          <cell r="BP32">
            <v>-4.9012687995363322</v>
          </cell>
          <cell r="BQ32">
            <v>171.76847204735455</v>
          </cell>
          <cell r="BR32">
            <v>-39.782787313395815</v>
          </cell>
        </row>
        <row r="33">
          <cell r="AQ33">
            <v>33.517974045915558</v>
          </cell>
          <cell r="AR33">
            <v>-92.08987683701902</v>
          </cell>
          <cell r="AS33">
            <v>263.16777551803824</v>
          </cell>
          <cell r="AT33">
            <v>-116.17816590025747</v>
          </cell>
          <cell r="AU33">
            <v>287.15312802623748</v>
          </cell>
          <cell r="AV33">
            <v>79.877213235989132</v>
          </cell>
          <cell r="AW33">
            <v>183.80112918838921</v>
          </cell>
          <cell r="AX33">
            <v>-16.666872872449854</v>
          </cell>
          <cell r="AY33" t="e">
            <v>#VALUE!</v>
          </cell>
          <cell r="AZ33" t="e">
            <v>#VALUE!</v>
          </cell>
          <cell r="BA33" t="e">
            <v>#VALUE!</v>
          </cell>
          <cell r="BB33" t="e">
            <v>#VALUE!</v>
          </cell>
          <cell r="BC33" t="e">
            <v>#VALUE!</v>
          </cell>
          <cell r="BD33" t="e">
            <v>#VALUE!</v>
          </cell>
          <cell r="BE33" t="e">
            <v>#VALUE!</v>
          </cell>
          <cell r="BF33" t="e">
            <v>#VALUE!</v>
          </cell>
          <cell r="BG33" t="e">
            <v>#VALUE!</v>
          </cell>
          <cell r="BH33" t="e">
            <v>#VALUE!</v>
          </cell>
          <cell r="BI33" t="e">
            <v>#VALUE!</v>
          </cell>
          <cell r="BJ33" t="e">
            <v>#VALUE!</v>
          </cell>
          <cell r="BK33">
            <v>126.84040286651339</v>
          </cell>
          <cell r="BL33">
            <v>1.2061475842818332</v>
          </cell>
          <cell r="BO33">
            <v>182.73490564569477</v>
          </cell>
          <cell r="BP33">
            <v>-3.2681010129442782</v>
          </cell>
          <cell r="BQ33">
            <v>177.8635372042009</v>
          </cell>
          <cell r="BR33">
            <v>-38.149619526803761</v>
          </cell>
        </row>
        <row r="34">
          <cell r="AQ34">
            <v>49.000000000000014</v>
          </cell>
          <cell r="AR34">
            <v>-84.87048957087498</v>
          </cell>
          <cell r="AS34">
            <v>269.25</v>
          </cell>
          <cell r="AT34">
            <v>-113.34197804570088</v>
          </cell>
          <cell r="AU34">
            <v>296</v>
          </cell>
          <cell r="AV34">
            <v>84.002577388071444</v>
          </cell>
          <cell r="AW34">
            <v>189.51999999999998</v>
          </cell>
          <cell r="AX34">
            <v>-14.000119616996653</v>
          </cell>
          <cell r="AY34" t="e">
            <v>#VALUE!</v>
          </cell>
          <cell r="AZ34" t="e">
            <v>#VALUE!</v>
          </cell>
          <cell r="BA34" t="e">
            <v>#VALUE!</v>
          </cell>
          <cell r="BB34" t="e">
            <v>#VALUE!</v>
          </cell>
          <cell r="BC34" t="e">
            <v>#VALUE!</v>
          </cell>
          <cell r="BD34" t="e">
            <v>#VALUE!</v>
          </cell>
          <cell r="BE34" t="e">
            <v>#VALUE!</v>
          </cell>
          <cell r="BF34" t="e">
            <v>#VALUE!</v>
          </cell>
          <cell r="BG34" t="e">
            <v>#VALUE!</v>
          </cell>
          <cell r="BH34" t="e">
            <v>#VALUE!</v>
          </cell>
          <cell r="BI34" t="e">
            <v>#VALUE!</v>
          </cell>
          <cell r="BJ34" t="e">
            <v>#VALUE!</v>
          </cell>
          <cell r="BK34">
            <v>130</v>
          </cell>
          <cell r="BL34">
            <v>2.679491924311229</v>
          </cell>
          <cell r="BO34">
            <v>188.45377645730554</v>
          </cell>
          <cell r="BP34">
            <v>-0.60134775749107661</v>
          </cell>
          <cell r="BQ34">
            <v>183.58240801581167</v>
          </cell>
          <cell r="BR34">
            <v>-35.482866271350559</v>
          </cell>
        </row>
        <row r="35">
          <cell r="AQ35">
            <v>62.993185749280848</v>
          </cell>
          <cell r="AR35">
            <v>-75.07235542565985</v>
          </cell>
          <cell r="AS35">
            <v>274.74732297293178</v>
          </cell>
          <cell r="AT35">
            <v>-109.49271106008067</v>
          </cell>
          <cell r="AU35">
            <v>303.99610614244619</v>
          </cell>
          <cell r="AV35">
            <v>89.601511185337216</v>
          </cell>
          <cell r="AW35">
            <v>194.6889114706527</v>
          </cell>
          <cell r="AX35">
            <v>-10.380808840906983</v>
          </cell>
          <cell r="AY35" t="e">
            <v>#VALUE!</v>
          </cell>
          <cell r="AZ35" t="e">
            <v>#VALUE!</v>
          </cell>
          <cell r="BA35" t="e">
            <v>#VALUE!</v>
          </cell>
          <cell r="BB35" t="e">
            <v>#VALUE!</v>
          </cell>
          <cell r="BC35" t="e">
            <v>#VALUE!</v>
          </cell>
          <cell r="BD35" t="e">
            <v>#VALUE!</v>
          </cell>
          <cell r="BE35" t="e">
            <v>#VALUE!</v>
          </cell>
          <cell r="BF35" t="e">
            <v>#VALUE!</v>
          </cell>
          <cell r="BG35" t="e">
            <v>#VALUE!</v>
          </cell>
          <cell r="BH35" t="e">
            <v>#VALUE!</v>
          </cell>
          <cell r="BI35" t="e">
            <v>#VALUE!</v>
          </cell>
          <cell r="BJ35" t="e">
            <v>#VALUE!</v>
          </cell>
          <cell r="BK35">
            <v>132.85575219373078</v>
          </cell>
          <cell r="BL35">
            <v>4.6791111376204384</v>
          </cell>
          <cell r="BO35">
            <v>193.62268792795825</v>
          </cell>
          <cell r="BP35">
            <v>3.0179630185985928</v>
          </cell>
          <cell r="BQ35">
            <v>188.75131948646438</v>
          </cell>
          <cell r="BR35">
            <v>-31.863555495260886</v>
          </cell>
        </row>
        <row r="36">
          <cell r="AQ36">
            <v>75.072355425659822</v>
          </cell>
          <cell r="AR36">
            <v>-62.993185749280876</v>
          </cell>
          <cell r="AS36">
            <v>279.49271106008064</v>
          </cell>
          <cell r="AT36">
            <v>-104.74732297293177</v>
          </cell>
          <cell r="AU36">
            <v>310.89848881466276</v>
          </cell>
          <cell r="AV36">
            <v>96.503893857553777</v>
          </cell>
          <cell r="AW36">
            <v>199.15080884090699</v>
          </cell>
          <cell r="AX36">
            <v>-5.9189114706527093</v>
          </cell>
          <cell r="AY36" t="e">
            <v>#VALUE!</v>
          </cell>
          <cell r="AZ36" t="e">
            <v>#VALUE!</v>
          </cell>
          <cell r="BA36" t="e">
            <v>#VALUE!</v>
          </cell>
          <cell r="BB36" t="e">
            <v>#VALUE!</v>
          </cell>
          <cell r="BC36" t="e">
            <v>#VALUE!</v>
          </cell>
          <cell r="BD36" t="e">
            <v>#VALUE!</v>
          </cell>
          <cell r="BE36" t="e">
            <v>#VALUE!</v>
          </cell>
          <cell r="BF36" t="e">
            <v>#VALUE!</v>
          </cell>
          <cell r="BG36" t="e">
            <v>#VALUE!</v>
          </cell>
          <cell r="BH36" t="e">
            <v>#VALUE!</v>
          </cell>
          <cell r="BI36" t="e">
            <v>#VALUE!</v>
          </cell>
          <cell r="BJ36" t="e">
            <v>#VALUE!</v>
          </cell>
          <cell r="BK36">
            <v>135.32088886237955</v>
          </cell>
          <cell r="BL36">
            <v>7.1442478062692079</v>
          </cell>
          <cell r="BO36">
            <v>198.08458529821255</v>
          </cell>
          <cell r="BP36">
            <v>7.4798603888528667</v>
          </cell>
          <cell r="BQ36">
            <v>193.21321685671867</v>
          </cell>
          <cell r="BR36">
            <v>-27.401658125006612</v>
          </cell>
        </row>
        <row r="37">
          <cell r="AQ37">
            <v>84.870489570874966</v>
          </cell>
          <cell r="AR37">
            <v>-49.000000000000043</v>
          </cell>
          <cell r="AS37">
            <v>283.3419780457009</v>
          </cell>
          <cell r="AT37">
            <v>-99.250000000000014</v>
          </cell>
          <cell r="AU37">
            <v>316.49742261192853</v>
          </cell>
          <cell r="AV37">
            <v>104.49999999999997</v>
          </cell>
          <cell r="AW37">
            <v>202.77011961699665</v>
          </cell>
          <cell r="AX37">
            <v>-0.74999999999999289</v>
          </cell>
          <cell r="AY37" t="e">
            <v>#VALUE!</v>
          </cell>
          <cell r="AZ37" t="e">
            <v>#VALUE!</v>
          </cell>
          <cell r="BA37" t="e">
            <v>#VALUE!</v>
          </cell>
          <cell r="BB37" t="e">
            <v>#VALUE!</v>
          </cell>
          <cell r="BC37" t="e">
            <v>#VALUE!</v>
          </cell>
          <cell r="BD37" t="e">
            <v>#VALUE!</v>
          </cell>
          <cell r="BE37" t="e">
            <v>#VALUE!</v>
          </cell>
          <cell r="BF37" t="e">
            <v>#VALUE!</v>
          </cell>
          <cell r="BG37" t="e">
            <v>#VALUE!</v>
          </cell>
          <cell r="BH37" t="e">
            <v>#VALUE!</v>
          </cell>
          <cell r="BI37" t="e">
            <v>#VALUE!</v>
          </cell>
          <cell r="BJ37" t="e">
            <v>#VALUE!</v>
          </cell>
          <cell r="BK37">
            <v>137.32050807568876</v>
          </cell>
          <cell r="BL37">
            <v>9.9999999999999911</v>
          </cell>
          <cell r="BO37">
            <v>201.70389607430221</v>
          </cell>
          <cell r="BP37">
            <v>12.648771859505583</v>
          </cell>
          <cell r="BQ37">
            <v>196.83252763280834</v>
          </cell>
          <cell r="BR37">
            <v>-22.232746654353896</v>
          </cell>
        </row>
        <row r="38">
          <cell r="AQ38">
            <v>92.089876837018991</v>
          </cell>
          <cell r="AR38">
            <v>-33.517974045915608</v>
          </cell>
          <cell r="AS38">
            <v>286.17816590025745</v>
          </cell>
          <cell r="AT38">
            <v>-93.167775518038269</v>
          </cell>
          <cell r="AU38">
            <v>320.62278676401087</v>
          </cell>
          <cell r="AV38">
            <v>113.34687197376252</v>
          </cell>
          <cell r="AW38">
            <v>205.43687287244987</v>
          </cell>
          <cell r="AX38">
            <v>4.9688708116107918</v>
          </cell>
          <cell r="AY38" t="e">
            <v>#VALUE!</v>
          </cell>
          <cell r="AZ38" t="e">
            <v>#VALUE!</v>
          </cell>
          <cell r="BA38" t="e">
            <v>#VALUE!</v>
          </cell>
          <cell r="BB38" t="e">
            <v>#VALUE!</v>
          </cell>
          <cell r="BC38" t="e">
            <v>#VALUE!</v>
          </cell>
          <cell r="BD38" t="e">
            <v>#VALUE!</v>
          </cell>
          <cell r="BE38" t="e">
            <v>#VALUE!</v>
          </cell>
          <cell r="BF38" t="e">
            <v>#VALUE!</v>
          </cell>
          <cell r="BG38" t="e">
            <v>#VALUE!</v>
          </cell>
          <cell r="BH38" t="e">
            <v>#VALUE!</v>
          </cell>
          <cell r="BI38" t="e">
            <v>#VALUE!</v>
          </cell>
          <cell r="BJ38" t="e">
            <v>#VALUE!</v>
          </cell>
          <cell r="BK38">
            <v>138.79385241571816</v>
          </cell>
          <cell r="BL38">
            <v>13.159597133486612</v>
          </cell>
          <cell r="BO38">
            <v>204.37064932975542</v>
          </cell>
          <cell r="BP38">
            <v>18.367642671116368</v>
          </cell>
          <cell r="BQ38">
            <v>199.49928088826155</v>
          </cell>
          <cell r="BR38">
            <v>-16.513875842743111</v>
          </cell>
        </row>
        <row r="39">
          <cell r="AQ39">
            <v>96.511159795196392</v>
          </cell>
          <cell r="AR39">
            <v>-17.017521411359176</v>
          </cell>
          <cell r="AS39">
            <v>287.91509849097002</v>
          </cell>
          <cell r="AT39">
            <v>-86.685454840176817</v>
          </cell>
          <cell r="AU39">
            <v>323.14923416868362</v>
          </cell>
          <cell r="AV39">
            <v>122.7757020506519</v>
          </cell>
          <cell r="AW39">
            <v>207.07004065904192</v>
          </cell>
          <cell r="AX39">
            <v>11.063935968457145</v>
          </cell>
          <cell r="AY39" t="e">
            <v>#VALUE!</v>
          </cell>
          <cell r="AZ39" t="e">
            <v>#VALUE!</v>
          </cell>
          <cell r="BA39" t="e">
            <v>#VALUE!</v>
          </cell>
          <cell r="BB39" t="e">
            <v>#VALUE!</v>
          </cell>
          <cell r="BC39" t="e">
            <v>#VALUE!</v>
          </cell>
          <cell r="BD39" t="e">
            <v>#VALUE!</v>
          </cell>
          <cell r="BE39" t="e">
            <v>#VALUE!</v>
          </cell>
          <cell r="BF39" t="e">
            <v>#VALUE!</v>
          </cell>
          <cell r="BG39" t="e">
            <v>#VALUE!</v>
          </cell>
          <cell r="BH39" t="e">
            <v>#VALUE!</v>
          </cell>
          <cell r="BI39" t="e">
            <v>#VALUE!</v>
          </cell>
          <cell r="BJ39" t="e">
            <v>#VALUE!</v>
          </cell>
          <cell r="BK39">
            <v>139.69615506024417</v>
          </cell>
          <cell r="BL39">
            <v>16.527036446661391</v>
          </cell>
          <cell r="BO39">
            <v>206.00381711634748</v>
          </cell>
          <cell r="BP39">
            <v>24.462707827962721</v>
          </cell>
          <cell r="BQ39">
            <v>201.13244867485361</v>
          </cell>
          <cell r="BR39">
            <v>-10.418810685896759</v>
          </cell>
        </row>
        <row r="40">
          <cell r="AQ40">
            <v>98</v>
          </cell>
          <cell r="AR40">
            <v>-2.4012909716208952E-14</v>
          </cell>
          <cell r="AS40">
            <v>288.5</v>
          </cell>
          <cell r="AT40">
            <v>-80.000000000000014</v>
          </cell>
          <cell r="AU40">
            <v>324</v>
          </cell>
          <cell r="AV40">
            <v>132.5</v>
          </cell>
          <cell r="AW40">
            <v>207.62</v>
          </cell>
          <cell r="AX40">
            <v>17.350000000000019</v>
          </cell>
          <cell r="AY40" t="e">
            <v>#VALUE!</v>
          </cell>
          <cell r="AZ40" t="e">
            <v>#VALUE!</v>
          </cell>
          <cell r="BA40" t="e">
            <v>#VALUE!</v>
          </cell>
          <cell r="BB40" t="e">
            <v>#VALUE!</v>
          </cell>
          <cell r="BC40" t="e">
            <v>#VALUE!</v>
          </cell>
          <cell r="BD40" t="e">
            <v>#VALUE!</v>
          </cell>
          <cell r="BE40" t="e">
            <v>#VALUE!</v>
          </cell>
          <cell r="BF40" t="e">
            <v>#VALUE!</v>
          </cell>
          <cell r="BG40" t="e">
            <v>#VALUE!</v>
          </cell>
          <cell r="BH40" t="e">
            <v>#VALUE!</v>
          </cell>
          <cell r="BI40" t="e">
            <v>#VALUE!</v>
          </cell>
          <cell r="BJ40" t="e">
            <v>#VALUE!</v>
          </cell>
          <cell r="BK40">
            <v>140</v>
          </cell>
          <cell r="BL40">
            <v>19.999999999999996</v>
          </cell>
          <cell r="BO40">
            <v>206.55377645730556</v>
          </cell>
          <cell r="BP40">
            <v>30.748771859505595</v>
          </cell>
          <cell r="BQ40">
            <v>201.68240801581169</v>
          </cell>
          <cell r="BR40">
            <v>-4.1327466543538858</v>
          </cell>
        </row>
      </sheetData>
      <sheetData sheetId="4" refreshError="1">
        <row r="4">
          <cell r="H4" t="str">
            <v>Type</v>
          </cell>
        </row>
        <row r="5">
          <cell r="B5" t="str">
            <v>CRK</v>
          </cell>
          <cell r="H5" t="str">
            <v>Grooved</v>
          </cell>
          <cell r="I5">
            <v>0</v>
          </cell>
        </row>
        <row r="6">
          <cell r="B6" t="str">
            <v>ALT</v>
          </cell>
          <cell r="H6" t="str">
            <v>Grooved</v>
          </cell>
          <cell r="I6">
            <v>0</v>
          </cell>
        </row>
        <row r="7">
          <cell r="B7" t="str">
            <v>AC</v>
          </cell>
          <cell r="H7" t="str">
            <v>Grooved</v>
          </cell>
          <cell r="I7">
            <v>0</v>
          </cell>
        </row>
        <row r="8">
          <cell r="B8" t="str">
            <v>TEN</v>
          </cell>
          <cell r="H8" t="str">
            <v>Flat</v>
          </cell>
          <cell r="I8">
            <v>0</v>
          </cell>
        </row>
        <row r="9">
          <cell r="B9" t="str">
            <v>NA</v>
          </cell>
          <cell r="H9" t="str"/>
          <cell r="I9" t="str">
            <v>0</v>
          </cell>
        </row>
        <row r="10">
          <cell r="B10" t="str">
            <v>NA</v>
          </cell>
          <cell r="H10" t="str"/>
          <cell r="I10" t="str">
            <v>0</v>
          </cell>
        </row>
        <row r="11">
          <cell r="B11" t="str">
            <v>NA</v>
          </cell>
          <cell r="H11" t="str"/>
          <cell r="I11" t="str">
            <v>0</v>
          </cell>
        </row>
        <row r="12">
          <cell r="B12" t="str">
            <v>NA</v>
          </cell>
          <cell r="H12" t="str"/>
          <cell r="I12" t="str">
            <v>0</v>
          </cell>
          <cell r="Q12">
            <v>95</v>
          </cell>
        </row>
        <row r="13">
          <cell r="B13" t="str">
            <v>NA</v>
          </cell>
          <cell r="H13" t="str"/>
          <cell r="I13" t="str">
            <v>0</v>
          </cell>
          <cell r="O13">
            <v>1</v>
          </cell>
          <cell r="Q13">
            <v>1.1000000000000001</v>
          </cell>
        </row>
        <row r="14">
          <cell r="B14" t="str">
            <v>NA</v>
          </cell>
          <cell r="H14" t="str"/>
          <cell r="I14" t="str">
            <v>0</v>
          </cell>
        </row>
        <row r="15">
          <cell r="B15" t="str">
            <v>TEN-P</v>
          </cell>
        </row>
        <row r="16">
          <cell r="Q16">
            <v>5</v>
          </cell>
        </row>
        <row r="17">
          <cell r="F17" t="str">
            <v>YES</v>
          </cell>
          <cell r="H17" t="str">
            <v>PK</v>
          </cell>
          <cell r="I17" t="str">
            <v>EPDM</v>
          </cell>
        </row>
        <row r="18">
          <cell r="H18">
            <v>9</v>
          </cell>
        </row>
        <row r="19">
          <cell r="H19">
            <v>0.8</v>
          </cell>
        </row>
        <row r="20">
          <cell r="H20">
            <v>6</v>
          </cell>
        </row>
        <row r="26">
          <cell r="D26">
            <v>170.35377645730554</v>
          </cell>
          <cell r="E26">
            <v>30.748771859505602</v>
          </cell>
          <cell r="F26">
            <v>12.049793735365597</v>
          </cell>
          <cell r="I26" t="str">
            <v>YES</v>
          </cell>
          <cell r="O26">
            <v>0.7</v>
          </cell>
        </row>
        <row r="27">
          <cell r="D27">
            <v>171.48039849656755</v>
          </cell>
          <cell r="E27">
            <v>20.898593698288103</v>
          </cell>
          <cell r="F27">
            <v>1</v>
          </cell>
          <cell r="G27">
            <v>1384.7317459845151</v>
          </cell>
          <cell r="I27" t="str">
            <v>YES</v>
          </cell>
        </row>
        <row r="28">
          <cell r="D28">
            <v>171.42</v>
          </cell>
          <cell r="E28">
            <v>17.350000000000026</v>
          </cell>
          <cell r="F28">
            <v>357.0497937353656</v>
          </cell>
          <cell r="G28">
            <v>1390.7317459845151</v>
          </cell>
        </row>
        <row r="29">
          <cell r="D29">
            <v>171.10554925620565</v>
          </cell>
          <cell r="E29">
            <v>13.734081454284802</v>
          </cell>
          <cell r="F29">
            <v>353.01</v>
          </cell>
          <cell r="G29">
            <v>1396.7317459845151</v>
          </cell>
          <cell r="I29" t="str">
            <v>YES</v>
          </cell>
        </row>
        <row r="30">
          <cell r="D30">
            <v>169.78462310079783</v>
          </cell>
          <cell r="E30">
            <v>6.8649247161842624</v>
          </cell>
          <cell r="F30">
            <v>345.22</v>
          </cell>
          <cell r="G30">
            <v>1407.9055999523912</v>
          </cell>
          <cell r="I30" t="str">
            <v>YES</v>
          </cell>
        </row>
        <row r="31">
          <cell r="D31">
            <v>165.48240801581167</v>
          </cell>
          <cell r="E31">
            <v>-4.1327466543538769</v>
          </cell>
          <cell r="F31">
            <v>332.0497937353656</v>
          </cell>
          <cell r="G31">
            <v>1425.2981306560155</v>
          </cell>
        </row>
        <row r="32">
          <cell r="H32">
            <v>405.9499314768475</v>
          </cell>
        </row>
        <row r="34">
          <cell r="D34">
            <v>36.799999999999997</v>
          </cell>
          <cell r="F34">
            <v>127.60243929695977</v>
          </cell>
          <cell r="G34">
            <v>728.49157785943726</v>
          </cell>
          <cell r="I34">
            <v>40</v>
          </cell>
          <cell r="M34">
            <v>113.20567680530037</v>
          </cell>
          <cell r="O34">
            <v>78.844116930065255</v>
          </cell>
        </row>
        <row r="35">
          <cell r="D35">
            <v>33.264066004683009</v>
          </cell>
          <cell r="F35">
            <v>131.84223608709348</v>
          </cell>
          <cell r="G35">
            <v>691.53723445278604</v>
          </cell>
          <cell r="H35">
            <v>378.72337666563976</v>
          </cell>
          <cell r="I35">
            <v>28.950206264634403</v>
          </cell>
          <cell r="K35">
            <v>416.59571433220378</v>
          </cell>
          <cell r="L35">
            <v>340.8510389990758</v>
          </cell>
          <cell r="M35">
            <v>111.89662369277342</v>
          </cell>
          <cell r="O35">
            <v>69.103376307227208</v>
          </cell>
        </row>
        <row r="36">
          <cell r="D36">
            <v>32</v>
          </cell>
          <cell r="F36">
            <v>133.23374881931704</v>
          </cell>
          <cell r="G36">
            <v>681.31220301555038</v>
          </cell>
          <cell r="H36">
            <v>371.13700817091677</v>
          </cell>
          <cell r="I36">
            <v>25</v>
          </cell>
          <cell r="K36">
            <v>408.25070898800845</v>
          </cell>
          <cell r="L36">
            <v>334.02330735382509</v>
          </cell>
          <cell r="M36">
            <v>111.23695378345695</v>
          </cell>
          <cell r="O36">
            <v>65.812839951908813</v>
          </cell>
        </row>
        <row r="37">
          <cell r="D37">
            <v>30.707266004683007</v>
          </cell>
          <cell r="F37">
            <v>134.60638645130504</v>
          </cell>
          <cell r="G37">
            <v>672.10066991136341</v>
          </cell>
          <cell r="H37">
            <v>364.2586739626235</v>
          </cell>
          <cell r="I37">
            <v>20.960206264634394</v>
          </cell>
          <cell r="K37">
            <v>400.68454135888589</v>
          </cell>
          <cell r="L37">
            <v>327.83280656636117</v>
          </cell>
          <cell r="M37">
            <v>110.46691534772278</v>
          </cell>
          <cell r="O37">
            <v>62.543084652277244</v>
          </cell>
        </row>
        <row r="38">
          <cell r="D38">
            <v>28.214466004683018</v>
          </cell>
          <cell r="F38">
            <v>137.15366499231095</v>
          </cell>
          <cell r="G38">
            <v>657.20268833956595</v>
          </cell>
          <cell r="H38">
            <v>352.99006214571074</v>
          </cell>
          <cell r="I38">
            <v>13.17020626463443</v>
          </cell>
          <cell r="K38">
            <v>388.28906836028182</v>
          </cell>
          <cell r="L38">
            <v>317.69105593113966</v>
          </cell>
          <cell r="M38">
            <v>108.72839735794116</v>
          </cell>
          <cell r="O38">
            <v>56.49160264205895</v>
          </cell>
        </row>
        <row r="39">
          <cell r="D39">
            <v>24</v>
          </cell>
          <cell r="F39">
            <v>141.38175551267918</v>
          </cell>
          <cell r="G39">
            <v>637.81572871015055</v>
          </cell>
          <cell r="H39">
            <v>337.91622029087296</v>
          </cell>
          <cell r="I39">
            <v>0</v>
          </cell>
          <cell r="K39">
            <v>371.70784231996026</v>
          </cell>
          <cell r="L39">
            <v>304.12459826178565</v>
          </cell>
          <cell r="M39">
            <v>105.09495917843124</v>
          </cell>
          <cell r="O39">
            <v>46.95483455693433</v>
          </cell>
        </row>
        <row r="44">
          <cell r="E44">
            <v>113.68</v>
          </cell>
          <cell r="G44">
            <v>125.93728</v>
          </cell>
        </row>
        <row r="47">
          <cell r="D47">
            <v>-180</v>
          </cell>
          <cell r="E47">
            <v>138</v>
          </cell>
          <cell r="F47">
            <v>102.91483080683756</v>
          </cell>
        </row>
        <row r="48">
          <cell r="D48">
            <v>1</v>
          </cell>
          <cell r="E48">
            <v>182.01919999999998</v>
          </cell>
          <cell r="F48">
            <v>289.19067456721353</v>
          </cell>
        </row>
        <row r="49">
          <cell r="D49">
            <v>-229.6</v>
          </cell>
          <cell r="E49">
            <v>125.93728</v>
          </cell>
          <cell r="F49">
            <v>51.869074726646133</v>
          </cell>
        </row>
        <row r="50">
          <cell r="D50">
            <v>353.01</v>
          </cell>
          <cell r="E50">
            <v>267.62803199999996</v>
          </cell>
          <cell r="F50">
            <v>651.46117049036241</v>
          </cell>
        </row>
        <row r="51">
          <cell r="D51">
            <v>345.22</v>
          </cell>
          <cell r="E51">
            <v>265.73350399999998</v>
          </cell>
          <cell r="F51">
            <v>643.44410517050972</v>
          </cell>
        </row>
        <row r="52">
          <cell r="D52">
            <v>-280</v>
          </cell>
          <cell r="E52">
            <v>113.68</v>
          </cell>
          <cell r="F52">
            <v>0</v>
          </cell>
        </row>
      </sheetData>
      <sheetData sheetId="5" refreshError="1">
        <row r="3">
          <cell r="A3">
            <v>120</v>
          </cell>
          <cell r="B3">
            <v>20</v>
          </cell>
          <cell r="G3" t="str">
            <v>X</v>
          </cell>
        </row>
        <row r="4">
          <cell r="P4" t="e">
            <v>#N/A</v>
          </cell>
          <cell r="Q4" t="e">
            <v>#N/A</v>
          </cell>
          <cell r="AJ4" t="e">
            <v>#N/A</v>
          </cell>
          <cell r="AK4" t="e">
            <v>#N/A</v>
          </cell>
          <cell r="BD4" t="e">
            <v>#N/A</v>
          </cell>
          <cell r="BE4" t="e">
            <v>#N/A</v>
          </cell>
          <cell r="BX4" t="e">
            <v>#N/A</v>
          </cell>
          <cell r="BY4" t="e">
            <v>#N/A</v>
          </cell>
        </row>
        <row r="5">
          <cell r="B5">
            <v>5</v>
          </cell>
        </row>
        <row r="6">
          <cell r="B6">
            <v>5</v>
          </cell>
        </row>
        <row r="7">
          <cell r="B7">
            <v>5</v>
          </cell>
        </row>
        <row r="8">
          <cell r="B8">
            <v>5</v>
          </cell>
        </row>
        <row r="10">
          <cell r="B10" t="str">
            <v>CRK-ALT</v>
          </cell>
        </row>
        <row r="11">
          <cell r="B11" t="str">
            <v>ALT-AC</v>
          </cell>
          <cell r="S11" t="e">
            <v>#N/A</v>
          </cell>
        </row>
        <row r="12">
          <cell r="B12" t="str">
            <v>AC-TEN</v>
          </cell>
          <cell r="G12" t="e">
            <v>#N/A</v>
          </cell>
          <cell r="H12" t="e">
            <v>#N/A</v>
          </cell>
          <cell r="N12" t="e">
            <v>#N/A</v>
          </cell>
          <cell r="O12" t="e">
            <v>#N/A</v>
          </cell>
          <cell r="AA12" t="e">
            <v>#N/A</v>
          </cell>
          <cell r="AB12" t="e">
            <v>#N/A</v>
          </cell>
          <cell r="AH12" t="e">
            <v>#N/A</v>
          </cell>
          <cell r="AI12" t="e">
            <v>#N/A</v>
          </cell>
          <cell r="AU12" t="e">
            <v>#N/A</v>
          </cell>
          <cell r="AV12" t="e">
            <v>#N/A</v>
          </cell>
          <cell r="BB12" t="e">
            <v>#N/A</v>
          </cell>
          <cell r="BC12" t="e">
            <v>#N/A</v>
          </cell>
          <cell r="BO12" t="e">
            <v>#N/A</v>
          </cell>
          <cell r="BP12" t="e">
            <v>#N/A</v>
          </cell>
          <cell r="BV12" t="e">
            <v>#N/A</v>
          </cell>
          <cell r="BW12" t="e">
            <v>#N/A</v>
          </cell>
        </row>
        <row r="13">
          <cell r="B13" t="str"/>
        </row>
        <row r="14">
          <cell r="B14" t="str"/>
        </row>
        <row r="15">
          <cell r="B15" t="str"/>
        </row>
        <row r="16">
          <cell r="B16" t="str"/>
          <cell r="S16">
            <v>171.36281763913354</v>
          </cell>
          <cell r="T16">
            <v>16.40836191005949</v>
          </cell>
          <cell r="AM16">
            <v>170.99336865759625</v>
          </cell>
          <cell r="AN16">
            <v>12.878535757972323</v>
          </cell>
          <cell r="BG16">
            <v>170.36496642725047</v>
          </cell>
          <cell r="BH16">
            <v>9.3037830621321511</v>
          </cell>
          <cell r="CA16">
            <v>168.45038033710324</v>
          </cell>
          <cell r="CB16">
            <v>2.5758918394645818</v>
          </cell>
        </row>
        <row r="17">
          <cell r="B17" t="str"/>
        </row>
        <row r="18">
          <cell r="B18" t="str"/>
        </row>
        <row r="19">
          <cell r="B19" t="str">
            <v>TEN-CRK</v>
          </cell>
          <cell r="C19" t="str">
            <v>CRK</v>
          </cell>
          <cell r="E19" t="str">
            <v>ALT</v>
          </cell>
          <cell r="G19" t="str">
            <v>AC</v>
          </cell>
          <cell r="I19" t="str">
            <v>TEN</v>
          </cell>
          <cell r="K19" t="str">
            <v>NA</v>
          </cell>
          <cell r="M19" t="str">
            <v>NA</v>
          </cell>
          <cell r="O19" t="str">
            <v>NA</v>
          </cell>
          <cell r="Q19" t="str">
            <v>NA</v>
          </cell>
          <cell r="S19" t="str">
            <v>NA</v>
          </cell>
          <cell r="U19" t="str">
            <v>NA</v>
          </cell>
          <cell r="W19" t="str">
            <v>CRK</v>
          </cell>
          <cell r="Y19" t="str">
            <v>ALT</v>
          </cell>
          <cell r="AA19" t="str">
            <v>AC</v>
          </cell>
          <cell r="AC19" t="str">
            <v>TEN</v>
          </cell>
          <cell r="AE19" t="str">
            <v>NA</v>
          </cell>
          <cell r="AG19" t="str">
            <v>NA</v>
          </cell>
          <cell r="AI19" t="str">
            <v>NA</v>
          </cell>
          <cell r="AK19" t="str">
            <v>NA</v>
          </cell>
          <cell r="AM19" t="str">
            <v>NA</v>
          </cell>
          <cell r="AO19" t="str">
            <v>NA</v>
          </cell>
          <cell r="AQ19" t="str">
            <v>CRK</v>
          </cell>
          <cell r="AS19" t="str">
            <v>ALT</v>
          </cell>
          <cell r="AU19" t="str">
            <v>AC</v>
          </cell>
          <cell r="AW19" t="str">
            <v>TEN</v>
          </cell>
          <cell r="AY19" t="str">
            <v>NA</v>
          </cell>
          <cell r="BA19" t="str">
            <v>NA</v>
          </cell>
          <cell r="BC19" t="str">
            <v>NA</v>
          </cell>
          <cell r="BE19" t="str">
            <v>NA</v>
          </cell>
          <cell r="BG19" t="str">
            <v>NA</v>
          </cell>
          <cell r="BI19" t="str">
            <v>NA</v>
          </cell>
          <cell r="BK19" t="str">
            <v>CRK</v>
          </cell>
          <cell r="BM19" t="str">
            <v>ALT</v>
          </cell>
          <cell r="BO19" t="str">
            <v>AC</v>
          </cell>
          <cell r="BQ19" t="str">
            <v>TEN</v>
          </cell>
          <cell r="BS19" t="str">
            <v>NA</v>
          </cell>
          <cell r="BU19" t="str">
            <v>NA</v>
          </cell>
          <cell r="BW19" t="str">
            <v>NA</v>
          </cell>
          <cell r="BY19" t="str">
            <v>NA</v>
          </cell>
          <cell r="CA19" t="str">
            <v>NA</v>
          </cell>
          <cell r="CC19" t="str">
            <v>NA</v>
          </cell>
        </row>
        <row r="21">
          <cell r="C21">
            <v>98</v>
          </cell>
          <cell r="D21">
            <v>0</v>
          </cell>
          <cell r="E21">
            <v>288.5</v>
          </cell>
          <cell r="F21">
            <v>-80</v>
          </cell>
          <cell r="G21">
            <v>324</v>
          </cell>
          <cell r="H21">
            <v>132.5</v>
          </cell>
          <cell r="I21">
            <v>207.56281763913353</v>
          </cell>
          <cell r="J21">
            <v>16.40836191005949</v>
          </cell>
          <cell r="K21" t="e">
            <v>#VALUE!</v>
          </cell>
          <cell r="L21" t="e">
            <v>#VALUE!</v>
          </cell>
          <cell r="M21" t="e">
            <v>#VALUE!</v>
          </cell>
          <cell r="N21" t="e">
            <v>#VALUE!</v>
          </cell>
          <cell r="O21" t="e">
            <v>#VALUE!</v>
          </cell>
          <cell r="P21" t="e">
            <v>#VALUE!</v>
          </cell>
          <cell r="Q21" t="e">
            <v>#VALUE!</v>
          </cell>
          <cell r="R21" t="e">
            <v>#VALUE!</v>
          </cell>
          <cell r="S21" t="e">
            <v>#VALUE!</v>
          </cell>
          <cell r="T21" t="e">
            <v>#VALUE!</v>
          </cell>
          <cell r="U21" t="e">
            <v>#VALUE!</v>
          </cell>
          <cell r="V21" t="e">
            <v>#VALUE!</v>
          </cell>
          <cell r="W21">
            <v>98</v>
          </cell>
          <cell r="X21">
            <v>0</v>
          </cell>
          <cell r="Y21">
            <v>288.5</v>
          </cell>
          <cell r="Z21">
            <v>-80</v>
          </cell>
          <cell r="AA21">
            <v>324</v>
          </cell>
          <cell r="AB21">
            <v>132.5</v>
          </cell>
          <cell r="AC21">
            <v>207.19336865759624</v>
          </cell>
          <cell r="AD21">
            <v>12.878535757972323</v>
          </cell>
          <cell r="AE21" t="e">
            <v>#VALUE!</v>
          </cell>
          <cell r="AF21" t="e">
            <v>#VALUE!</v>
          </cell>
          <cell r="AG21" t="e">
            <v>#VALUE!</v>
          </cell>
          <cell r="AH21" t="e">
            <v>#VALUE!</v>
          </cell>
          <cell r="AI21" t="e">
            <v>#VALUE!</v>
          </cell>
          <cell r="AJ21" t="e">
            <v>#VALUE!</v>
          </cell>
          <cell r="AK21" t="e">
            <v>#VALUE!</v>
          </cell>
          <cell r="AL21" t="e">
            <v>#VALUE!</v>
          </cell>
          <cell r="AM21" t="e">
            <v>#VALUE!</v>
          </cell>
          <cell r="AN21" t="e">
            <v>#VALUE!</v>
          </cell>
          <cell r="AO21" t="e">
            <v>#VALUE!</v>
          </cell>
          <cell r="AP21" t="e">
            <v>#VALUE!</v>
          </cell>
          <cell r="AQ21">
            <v>98</v>
          </cell>
          <cell r="AR21">
            <v>0</v>
          </cell>
          <cell r="AS21">
            <v>288.5</v>
          </cell>
          <cell r="AT21">
            <v>-80</v>
          </cell>
          <cell r="AU21">
            <v>324</v>
          </cell>
          <cell r="AV21">
            <v>132.5</v>
          </cell>
          <cell r="AW21">
            <v>206.56496642725045</v>
          </cell>
          <cell r="AX21">
            <v>9.3037830621321511</v>
          </cell>
          <cell r="AY21" t="e">
            <v>#VALUE!</v>
          </cell>
          <cell r="AZ21" t="e">
            <v>#VALUE!</v>
          </cell>
          <cell r="BA21" t="e">
            <v>#VALUE!</v>
          </cell>
          <cell r="BB21" t="e">
            <v>#VALUE!</v>
          </cell>
          <cell r="BC21" t="e">
            <v>#VALUE!</v>
          </cell>
          <cell r="BD21" t="e">
            <v>#VALUE!</v>
          </cell>
          <cell r="BE21" t="e">
            <v>#VALUE!</v>
          </cell>
          <cell r="BF21" t="e">
            <v>#VALUE!</v>
          </cell>
          <cell r="BG21" t="e">
            <v>#VALUE!</v>
          </cell>
          <cell r="BH21" t="e">
            <v>#VALUE!</v>
          </cell>
          <cell r="BI21" t="e">
            <v>#VALUE!</v>
          </cell>
          <cell r="BJ21" t="e">
            <v>#VALUE!</v>
          </cell>
          <cell r="BK21">
            <v>98</v>
          </cell>
          <cell r="BL21">
            <v>0</v>
          </cell>
          <cell r="BM21">
            <v>288.5</v>
          </cell>
          <cell r="BN21">
            <v>-80</v>
          </cell>
          <cell r="BO21">
            <v>324</v>
          </cell>
          <cell r="BP21">
            <v>132.5</v>
          </cell>
          <cell r="BQ21">
            <v>204.65038033710323</v>
          </cell>
          <cell r="BR21">
            <v>2.5758918394645818</v>
          </cell>
          <cell r="BS21" t="e">
            <v>#VALUE!</v>
          </cell>
          <cell r="BT21" t="e">
            <v>#VALUE!</v>
          </cell>
          <cell r="BU21" t="e">
            <v>#VALUE!</v>
          </cell>
          <cell r="BV21" t="e">
            <v>#VALUE!</v>
          </cell>
          <cell r="BW21" t="e">
            <v>#VALUE!</v>
          </cell>
          <cell r="BX21" t="e">
            <v>#VALUE!</v>
          </cell>
          <cell r="BY21" t="e">
            <v>#VALUE!</v>
          </cell>
          <cell r="BZ21" t="e">
            <v>#VALUE!</v>
          </cell>
          <cell r="CA21" t="e">
            <v>#VALUE!</v>
          </cell>
          <cell r="CB21" t="e">
            <v>#VALUE!</v>
          </cell>
          <cell r="CC21" t="e">
            <v>#VALUE!</v>
          </cell>
          <cell r="CD21" t="e">
            <v>#VALUE!</v>
          </cell>
        </row>
        <row r="22">
          <cell r="C22">
            <v>96.511159795196392</v>
          </cell>
          <cell r="D22">
            <v>17.017521411359173</v>
          </cell>
          <cell r="E22">
            <v>287.91509849097002</v>
          </cell>
          <cell r="F22">
            <v>-73.314545159823183</v>
          </cell>
          <cell r="G22">
            <v>323.14923416868362</v>
          </cell>
          <cell r="H22">
            <v>142.22429794934811</v>
          </cell>
          <cell r="I22">
            <v>207.01285829817547</v>
          </cell>
          <cell r="J22">
            <v>22.694425941602368</v>
          </cell>
          <cell r="K22" t="e">
            <v>#VALUE!</v>
          </cell>
          <cell r="L22" t="e">
            <v>#VALUE!</v>
          </cell>
          <cell r="M22" t="e">
            <v>#VALUE!</v>
          </cell>
          <cell r="N22" t="e">
            <v>#VALUE!</v>
          </cell>
          <cell r="O22" t="e">
            <v>#VALUE!</v>
          </cell>
          <cell r="P22" t="e">
            <v>#VALUE!</v>
          </cell>
          <cell r="Q22" t="e">
            <v>#VALUE!</v>
          </cell>
          <cell r="R22" t="e">
            <v>#VALUE!</v>
          </cell>
          <cell r="S22" t="e">
            <v>#VALUE!</v>
          </cell>
          <cell r="T22" t="e">
            <v>#VALUE!</v>
          </cell>
          <cell r="U22" t="e">
            <v>#VALUE!</v>
          </cell>
          <cell r="V22" t="e">
            <v>#VALUE!</v>
          </cell>
          <cell r="W22">
            <v>96.511159795196392</v>
          </cell>
          <cell r="X22">
            <v>17.017521411359173</v>
          </cell>
          <cell r="Y22">
            <v>287.91509849097002</v>
          </cell>
          <cell r="Z22">
            <v>-73.314545159823183</v>
          </cell>
          <cell r="AA22">
            <v>323.14923416868362</v>
          </cell>
          <cell r="AB22">
            <v>142.22429794934811</v>
          </cell>
          <cell r="AC22">
            <v>206.64340931663818</v>
          </cell>
          <cell r="AD22">
            <v>19.164599789515201</v>
          </cell>
          <cell r="AE22" t="e">
            <v>#VALUE!</v>
          </cell>
          <cell r="AF22" t="e">
            <v>#VALUE!</v>
          </cell>
          <cell r="AG22" t="e">
            <v>#VALUE!</v>
          </cell>
          <cell r="AH22" t="e">
            <v>#VALUE!</v>
          </cell>
          <cell r="AI22" t="e">
            <v>#VALUE!</v>
          </cell>
          <cell r="AJ22" t="e">
            <v>#VALUE!</v>
          </cell>
          <cell r="AK22" t="e">
            <v>#VALUE!</v>
          </cell>
          <cell r="AL22" t="e">
            <v>#VALUE!</v>
          </cell>
          <cell r="AM22" t="e">
            <v>#VALUE!</v>
          </cell>
          <cell r="AN22" t="e">
            <v>#VALUE!</v>
          </cell>
          <cell r="AO22" t="e">
            <v>#VALUE!</v>
          </cell>
          <cell r="AP22" t="e">
            <v>#VALUE!</v>
          </cell>
          <cell r="AQ22">
            <v>96.511159795196392</v>
          </cell>
          <cell r="AR22">
            <v>17.017521411359173</v>
          </cell>
          <cell r="AS22">
            <v>287.91509849097002</v>
          </cell>
          <cell r="AT22">
            <v>-73.314545159823183</v>
          </cell>
          <cell r="AU22">
            <v>323.14923416868362</v>
          </cell>
          <cell r="AV22">
            <v>142.22429794934811</v>
          </cell>
          <cell r="AW22">
            <v>206.0150070862924</v>
          </cell>
          <cell r="AX22">
            <v>15.589847093675029</v>
          </cell>
          <cell r="AY22" t="e">
            <v>#VALUE!</v>
          </cell>
          <cell r="AZ22" t="e">
            <v>#VALUE!</v>
          </cell>
          <cell r="BA22" t="e">
            <v>#VALUE!</v>
          </cell>
          <cell r="BB22" t="e">
            <v>#VALUE!</v>
          </cell>
          <cell r="BC22" t="e">
            <v>#VALUE!</v>
          </cell>
          <cell r="BD22" t="e">
            <v>#VALUE!</v>
          </cell>
          <cell r="BE22" t="e">
            <v>#VALUE!</v>
          </cell>
          <cell r="BF22" t="e">
            <v>#VALUE!</v>
          </cell>
          <cell r="BG22" t="e">
            <v>#VALUE!</v>
          </cell>
          <cell r="BH22" t="e">
            <v>#VALUE!</v>
          </cell>
          <cell r="BI22" t="e">
            <v>#VALUE!</v>
          </cell>
          <cell r="BJ22" t="e">
            <v>#VALUE!</v>
          </cell>
          <cell r="BK22">
            <v>96.511159795196392</v>
          </cell>
          <cell r="BL22">
            <v>17.017521411359173</v>
          </cell>
          <cell r="BM22">
            <v>287.91509849097002</v>
          </cell>
          <cell r="BN22">
            <v>-73.314545159823183</v>
          </cell>
          <cell r="BO22">
            <v>323.14923416868362</v>
          </cell>
          <cell r="BP22">
            <v>142.22429794934811</v>
          </cell>
          <cell r="BQ22">
            <v>204.10042099614517</v>
          </cell>
          <cell r="BR22">
            <v>8.86195587100746</v>
          </cell>
          <cell r="BS22" t="e">
            <v>#VALUE!</v>
          </cell>
          <cell r="BT22" t="e">
            <v>#VALUE!</v>
          </cell>
          <cell r="BU22" t="e">
            <v>#VALUE!</v>
          </cell>
          <cell r="BV22" t="e">
            <v>#VALUE!</v>
          </cell>
          <cell r="BW22" t="e">
            <v>#VALUE!</v>
          </cell>
          <cell r="BX22" t="e">
            <v>#VALUE!</v>
          </cell>
          <cell r="BY22" t="e">
            <v>#VALUE!</v>
          </cell>
          <cell r="BZ22" t="e">
            <v>#VALUE!</v>
          </cell>
          <cell r="CA22" t="e">
            <v>#VALUE!</v>
          </cell>
          <cell r="CB22" t="e">
            <v>#VALUE!</v>
          </cell>
          <cell r="CC22" t="e">
            <v>#VALUE!</v>
          </cell>
          <cell r="CD22" t="e">
            <v>#VALUE!</v>
          </cell>
        </row>
        <row r="23">
          <cell r="C23">
            <v>92.08987683701902</v>
          </cell>
          <cell r="D23">
            <v>33.517974045915537</v>
          </cell>
          <cell r="E23">
            <v>286.17816590025745</v>
          </cell>
          <cell r="F23">
            <v>-66.832224481961759</v>
          </cell>
          <cell r="G23">
            <v>320.62278676401087</v>
          </cell>
          <cell r="H23">
            <v>151.65312802623745</v>
          </cell>
          <cell r="I23">
            <v>205.37969051158342</v>
          </cell>
          <cell r="J23">
            <v>28.7894910984487</v>
          </cell>
          <cell r="K23" t="e">
            <v>#VALUE!</v>
          </cell>
          <cell r="L23" t="e">
            <v>#VALUE!</v>
          </cell>
          <cell r="M23" t="e">
            <v>#VALUE!</v>
          </cell>
          <cell r="N23" t="e">
            <v>#VALUE!</v>
          </cell>
          <cell r="O23" t="e">
            <v>#VALUE!</v>
          </cell>
          <cell r="P23" t="e">
            <v>#VALUE!</v>
          </cell>
          <cell r="Q23" t="e">
            <v>#VALUE!</v>
          </cell>
          <cell r="R23" t="e">
            <v>#VALUE!</v>
          </cell>
          <cell r="S23" t="e">
            <v>#VALUE!</v>
          </cell>
          <cell r="T23" t="e">
            <v>#VALUE!</v>
          </cell>
          <cell r="U23" t="e">
            <v>#VALUE!</v>
          </cell>
          <cell r="V23" t="e">
            <v>#VALUE!</v>
          </cell>
          <cell r="W23">
            <v>92.08987683701902</v>
          </cell>
          <cell r="X23">
            <v>33.517974045915537</v>
          </cell>
          <cell r="Y23">
            <v>286.17816590025745</v>
          </cell>
          <cell r="Z23">
            <v>-66.832224481961759</v>
          </cell>
          <cell r="AA23">
            <v>320.62278676401087</v>
          </cell>
          <cell r="AB23">
            <v>151.65312802623745</v>
          </cell>
          <cell r="AC23">
            <v>205.01024153004613</v>
          </cell>
          <cell r="AD23">
            <v>25.259664946361532</v>
          </cell>
          <cell r="AE23" t="e">
            <v>#VALUE!</v>
          </cell>
          <cell r="AF23" t="e">
            <v>#VALUE!</v>
          </cell>
          <cell r="AG23" t="e">
            <v>#VALUE!</v>
          </cell>
          <cell r="AH23" t="e">
            <v>#VALUE!</v>
          </cell>
          <cell r="AI23" t="e">
            <v>#VALUE!</v>
          </cell>
          <cell r="AJ23" t="e">
            <v>#VALUE!</v>
          </cell>
          <cell r="AK23" t="e">
            <v>#VALUE!</v>
          </cell>
          <cell r="AL23" t="e">
            <v>#VALUE!</v>
          </cell>
          <cell r="AM23" t="e">
            <v>#VALUE!</v>
          </cell>
          <cell r="AN23" t="e">
            <v>#VALUE!</v>
          </cell>
          <cell r="AO23" t="e">
            <v>#VALUE!</v>
          </cell>
          <cell r="AP23" t="e">
            <v>#VALUE!</v>
          </cell>
          <cell r="AQ23">
            <v>92.08987683701902</v>
          </cell>
          <cell r="AR23">
            <v>33.517974045915537</v>
          </cell>
          <cell r="AS23">
            <v>286.17816590025745</v>
          </cell>
          <cell r="AT23">
            <v>-66.832224481961759</v>
          </cell>
          <cell r="AU23">
            <v>320.62278676401087</v>
          </cell>
          <cell r="AV23">
            <v>151.65312802623745</v>
          </cell>
          <cell r="AW23">
            <v>204.38183929970035</v>
          </cell>
          <cell r="AX23">
            <v>21.684912250521357</v>
          </cell>
          <cell r="AY23" t="e">
            <v>#VALUE!</v>
          </cell>
          <cell r="AZ23" t="e">
            <v>#VALUE!</v>
          </cell>
          <cell r="BA23" t="e">
            <v>#VALUE!</v>
          </cell>
          <cell r="BB23" t="e">
            <v>#VALUE!</v>
          </cell>
          <cell r="BC23" t="e">
            <v>#VALUE!</v>
          </cell>
          <cell r="BD23" t="e">
            <v>#VALUE!</v>
          </cell>
          <cell r="BE23" t="e">
            <v>#VALUE!</v>
          </cell>
          <cell r="BF23" t="e">
            <v>#VALUE!</v>
          </cell>
          <cell r="BG23" t="e">
            <v>#VALUE!</v>
          </cell>
          <cell r="BH23" t="e">
            <v>#VALUE!</v>
          </cell>
          <cell r="BI23" t="e">
            <v>#VALUE!</v>
          </cell>
          <cell r="BJ23" t="e">
            <v>#VALUE!</v>
          </cell>
          <cell r="BK23">
            <v>92.08987683701902</v>
          </cell>
          <cell r="BL23">
            <v>33.517974045915537</v>
          </cell>
          <cell r="BM23">
            <v>286.17816590025745</v>
          </cell>
          <cell r="BN23">
            <v>-66.832224481961759</v>
          </cell>
          <cell r="BO23">
            <v>320.62278676401087</v>
          </cell>
          <cell r="BP23">
            <v>151.65312802623745</v>
          </cell>
          <cell r="BQ23">
            <v>202.46725320955312</v>
          </cell>
          <cell r="BR23">
            <v>14.95702102785379</v>
          </cell>
          <cell r="BS23" t="e">
            <v>#VALUE!</v>
          </cell>
          <cell r="BT23" t="e">
            <v>#VALUE!</v>
          </cell>
          <cell r="BU23" t="e">
            <v>#VALUE!</v>
          </cell>
          <cell r="BV23" t="e">
            <v>#VALUE!</v>
          </cell>
          <cell r="BW23" t="e">
            <v>#VALUE!</v>
          </cell>
          <cell r="BX23" t="e">
            <v>#VALUE!</v>
          </cell>
          <cell r="BY23" t="e">
            <v>#VALUE!</v>
          </cell>
          <cell r="BZ23" t="e">
            <v>#VALUE!</v>
          </cell>
          <cell r="CA23" t="e">
            <v>#VALUE!</v>
          </cell>
          <cell r="CB23" t="e">
            <v>#VALUE!</v>
          </cell>
          <cell r="CC23" t="e">
            <v>#VALUE!</v>
          </cell>
          <cell r="CD23" t="e">
            <v>#VALUE!</v>
          </cell>
        </row>
        <row r="24">
          <cell r="C24">
            <v>84.870489570874994</v>
          </cell>
          <cell r="D24">
            <v>48.999999999999993</v>
          </cell>
          <cell r="E24">
            <v>283.3419780457009</v>
          </cell>
          <cell r="F24">
            <v>-60.75</v>
          </cell>
          <cell r="G24">
            <v>316.49742261192858</v>
          </cell>
          <cell r="H24">
            <v>160.5</v>
          </cell>
          <cell r="I24">
            <v>202.71293725613023</v>
          </cell>
          <cell r="J24">
            <v>34.508361910059492</v>
          </cell>
          <cell r="K24" t="e">
            <v>#VALUE!</v>
          </cell>
          <cell r="L24" t="e">
            <v>#VALUE!</v>
          </cell>
          <cell r="M24" t="e">
            <v>#VALUE!</v>
          </cell>
          <cell r="N24" t="e">
            <v>#VALUE!</v>
          </cell>
          <cell r="O24" t="e">
            <v>#VALUE!</v>
          </cell>
          <cell r="P24" t="e">
            <v>#VALUE!</v>
          </cell>
          <cell r="Q24" t="e">
            <v>#VALUE!</v>
          </cell>
          <cell r="R24" t="e">
            <v>#VALUE!</v>
          </cell>
          <cell r="S24" t="e">
            <v>#VALUE!</v>
          </cell>
          <cell r="T24" t="e">
            <v>#VALUE!</v>
          </cell>
          <cell r="U24" t="e">
            <v>#VALUE!</v>
          </cell>
          <cell r="V24" t="e">
            <v>#VALUE!</v>
          </cell>
          <cell r="W24">
            <v>84.870489570874994</v>
          </cell>
          <cell r="X24">
            <v>48.999999999999993</v>
          </cell>
          <cell r="Y24">
            <v>283.3419780457009</v>
          </cell>
          <cell r="Z24">
            <v>-60.75</v>
          </cell>
          <cell r="AA24">
            <v>316.49742261192858</v>
          </cell>
          <cell r="AB24">
            <v>160.5</v>
          </cell>
          <cell r="AC24">
            <v>202.34348827459294</v>
          </cell>
          <cell r="AD24">
            <v>30.97853575797232</v>
          </cell>
          <cell r="AE24" t="e">
            <v>#VALUE!</v>
          </cell>
          <cell r="AF24" t="e">
            <v>#VALUE!</v>
          </cell>
          <cell r="AG24" t="e">
            <v>#VALUE!</v>
          </cell>
          <cell r="AH24" t="e">
            <v>#VALUE!</v>
          </cell>
          <cell r="AI24" t="e">
            <v>#VALUE!</v>
          </cell>
          <cell r="AJ24" t="e">
            <v>#VALUE!</v>
          </cell>
          <cell r="AK24" t="e">
            <v>#VALUE!</v>
          </cell>
          <cell r="AL24" t="e">
            <v>#VALUE!</v>
          </cell>
          <cell r="AM24" t="e">
            <v>#VALUE!</v>
          </cell>
          <cell r="AN24" t="e">
            <v>#VALUE!</v>
          </cell>
          <cell r="AO24" t="e">
            <v>#VALUE!</v>
          </cell>
          <cell r="AP24" t="e">
            <v>#VALUE!</v>
          </cell>
          <cell r="AQ24">
            <v>84.870489570874994</v>
          </cell>
          <cell r="AR24">
            <v>48.999999999999993</v>
          </cell>
          <cell r="AS24">
            <v>283.3419780457009</v>
          </cell>
          <cell r="AT24">
            <v>-60.75</v>
          </cell>
          <cell r="AU24">
            <v>316.49742261192858</v>
          </cell>
          <cell r="AV24">
            <v>160.5</v>
          </cell>
          <cell r="AW24">
            <v>201.71508604424716</v>
          </cell>
          <cell r="AX24">
            <v>27.403783062132149</v>
          </cell>
          <cell r="AY24" t="e">
            <v>#VALUE!</v>
          </cell>
          <cell r="AZ24" t="e">
            <v>#VALUE!</v>
          </cell>
          <cell r="BA24" t="e">
            <v>#VALUE!</v>
          </cell>
          <cell r="BB24" t="e">
            <v>#VALUE!</v>
          </cell>
          <cell r="BC24" t="e">
            <v>#VALUE!</v>
          </cell>
          <cell r="BD24" t="e">
            <v>#VALUE!</v>
          </cell>
          <cell r="BE24" t="e">
            <v>#VALUE!</v>
          </cell>
          <cell r="BF24" t="e">
            <v>#VALUE!</v>
          </cell>
          <cell r="BG24" t="e">
            <v>#VALUE!</v>
          </cell>
          <cell r="BH24" t="e">
            <v>#VALUE!</v>
          </cell>
          <cell r="BI24" t="e">
            <v>#VALUE!</v>
          </cell>
          <cell r="BJ24" t="e">
            <v>#VALUE!</v>
          </cell>
          <cell r="BK24">
            <v>84.870489570874994</v>
          </cell>
          <cell r="BL24">
            <v>48.999999999999993</v>
          </cell>
          <cell r="BM24">
            <v>283.3419780457009</v>
          </cell>
          <cell r="BN24">
            <v>-60.75</v>
          </cell>
          <cell r="BO24">
            <v>316.49742261192858</v>
          </cell>
          <cell r="BP24">
            <v>160.5</v>
          </cell>
          <cell r="BQ24">
            <v>199.80049995409993</v>
          </cell>
          <cell r="BR24">
            <v>20.67589183946458</v>
          </cell>
          <cell r="BS24" t="e">
            <v>#VALUE!</v>
          </cell>
          <cell r="BT24" t="e">
            <v>#VALUE!</v>
          </cell>
          <cell r="BU24" t="e">
            <v>#VALUE!</v>
          </cell>
          <cell r="BV24" t="e">
            <v>#VALUE!</v>
          </cell>
          <cell r="BW24" t="e">
            <v>#VALUE!</v>
          </cell>
          <cell r="BX24" t="e">
            <v>#VALUE!</v>
          </cell>
          <cell r="BY24" t="e">
            <v>#VALUE!</v>
          </cell>
          <cell r="BZ24" t="e">
            <v>#VALUE!</v>
          </cell>
          <cell r="CA24" t="e">
            <v>#VALUE!</v>
          </cell>
          <cell r="CB24" t="e">
            <v>#VALUE!</v>
          </cell>
          <cell r="CC24" t="e">
            <v>#VALUE!</v>
          </cell>
          <cell r="CD24" t="e">
            <v>#VALUE!</v>
          </cell>
        </row>
        <row r="25">
          <cell r="C25">
            <v>75.07235542565985</v>
          </cell>
          <cell r="D25">
            <v>62.993185749280848</v>
          </cell>
          <cell r="E25">
            <v>279.49271106008064</v>
          </cell>
          <cell r="F25">
            <v>-55.252677027068238</v>
          </cell>
          <cell r="G25">
            <v>310.89848881466276</v>
          </cell>
          <cell r="H25">
            <v>168.49610614244619</v>
          </cell>
          <cell r="I25">
            <v>199.09362648004054</v>
          </cell>
          <cell r="J25">
            <v>39.677273380712208</v>
          </cell>
          <cell r="K25" t="e">
            <v>#VALUE!</v>
          </cell>
          <cell r="L25" t="e">
            <v>#VALUE!</v>
          </cell>
          <cell r="M25" t="e">
            <v>#VALUE!</v>
          </cell>
          <cell r="N25" t="e">
            <v>#VALUE!</v>
          </cell>
          <cell r="O25" t="e">
            <v>#VALUE!</v>
          </cell>
          <cell r="P25" t="e">
            <v>#VALUE!</v>
          </cell>
          <cell r="Q25" t="e">
            <v>#VALUE!</v>
          </cell>
          <cell r="R25" t="e">
            <v>#VALUE!</v>
          </cell>
          <cell r="S25" t="e">
            <v>#VALUE!</v>
          </cell>
          <cell r="T25" t="e">
            <v>#VALUE!</v>
          </cell>
          <cell r="U25" t="e">
            <v>#VALUE!</v>
          </cell>
          <cell r="V25" t="e">
            <v>#VALUE!</v>
          </cell>
          <cell r="W25">
            <v>75.07235542565985</v>
          </cell>
          <cell r="X25">
            <v>62.993185749280848</v>
          </cell>
          <cell r="Y25">
            <v>279.49271106008064</v>
          </cell>
          <cell r="Z25">
            <v>-55.252677027068238</v>
          </cell>
          <cell r="AA25">
            <v>310.89848881466276</v>
          </cell>
          <cell r="AB25">
            <v>168.49610614244619</v>
          </cell>
          <cell r="AC25">
            <v>198.72417749850325</v>
          </cell>
          <cell r="AD25">
            <v>36.14744722862504</v>
          </cell>
          <cell r="AE25" t="e">
            <v>#VALUE!</v>
          </cell>
          <cell r="AF25" t="e">
            <v>#VALUE!</v>
          </cell>
          <cell r="AG25" t="e">
            <v>#VALUE!</v>
          </cell>
          <cell r="AH25" t="e">
            <v>#VALUE!</v>
          </cell>
          <cell r="AI25" t="e">
            <v>#VALUE!</v>
          </cell>
          <cell r="AJ25" t="e">
            <v>#VALUE!</v>
          </cell>
          <cell r="AK25" t="e">
            <v>#VALUE!</v>
          </cell>
          <cell r="AL25" t="e">
            <v>#VALUE!</v>
          </cell>
          <cell r="AM25" t="e">
            <v>#VALUE!</v>
          </cell>
          <cell r="AN25" t="e">
            <v>#VALUE!</v>
          </cell>
          <cell r="AO25" t="e">
            <v>#VALUE!</v>
          </cell>
          <cell r="AP25" t="e">
            <v>#VALUE!</v>
          </cell>
          <cell r="AQ25">
            <v>75.07235542565985</v>
          </cell>
          <cell r="AR25">
            <v>62.993185749280848</v>
          </cell>
          <cell r="AS25">
            <v>279.49271106008064</v>
          </cell>
          <cell r="AT25">
            <v>-55.252677027068238</v>
          </cell>
          <cell r="AU25">
            <v>310.89848881466276</v>
          </cell>
          <cell r="AV25">
            <v>168.49610614244619</v>
          </cell>
          <cell r="AW25">
            <v>198.09577526815747</v>
          </cell>
          <cell r="AX25">
            <v>32.572694532784872</v>
          </cell>
          <cell r="AY25" t="e">
            <v>#VALUE!</v>
          </cell>
          <cell r="AZ25" t="e">
            <v>#VALUE!</v>
          </cell>
          <cell r="BA25" t="e">
            <v>#VALUE!</v>
          </cell>
          <cell r="BB25" t="e">
            <v>#VALUE!</v>
          </cell>
          <cell r="BC25" t="e">
            <v>#VALUE!</v>
          </cell>
          <cell r="BD25" t="e">
            <v>#VALUE!</v>
          </cell>
          <cell r="BE25" t="e">
            <v>#VALUE!</v>
          </cell>
          <cell r="BF25" t="e">
            <v>#VALUE!</v>
          </cell>
          <cell r="BG25" t="e">
            <v>#VALUE!</v>
          </cell>
          <cell r="BH25" t="e">
            <v>#VALUE!</v>
          </cell>
          <cell r="BI25" t="e">
            <v>#VALUE!</v>
          </cell>
          <cell r="BJ25" t="e">
            <v>#VALUE!</v>
          </cell>
          <cell r="BK25">
            <v>75.07235542565985</v>
          </cell>
          <cell r="BL25">
            <v>62.993185749280848</v>
          </cell>
          <cell r="BM25">
            <v>279.49271106008064</v>
          </cell>
          <cell r="BN25">
            <v>-55.252677027068238</v>
          </cell>
          <cell r="BO25">
            <v>310.89848881466276</v>
          </cell>
          <cell r="BP25">
            <v>168.49610614244619</v>
          </cell>
          <cell r="BQ25">
            <v>196.18118917801024</v>
          </cell>
          <cell r="BR25">
            <v>25.844803310117303</v>
          </cell>
          <cell r="BS25" t="e">
            <v>#VALUE!</v>
          </cell>
          <cell r="BT25" t="e">
            <v>#VALUE!</v>
          </cell>
          <cell r="BU25" t="e">
            <v>#VALUE!</v>
          </cell>
          <cell r="BV25" t="e">
            <v>#VALUE!</v>
          </cell>
          <cell r="BW25" t="e">
            <v>#VALUE!</v>
          </cell>
          <cell r="BX25" t="e">
            <v>#VALUE!</v>
          </cell>
          <cell r="BY25" t="e">
            <v>#VALUE!</v>
          </cell>
          <cell r="BZ25" t="e">
            <v>#VALUE!</v>
          </cell>
          <cell r="CA25" t="e">
            <v>#VALUE!</v>
          </cell>
          <cell r="CB25" t="e">
            <v>#VALUE!</v>
          </cell>
          <cell r="CC25" t="e">
            <v>#VALUE!</v>
          </cell>
          <cell r="CD25" t="e">
            <v>#VALUE!</v>
          </cell>
        </row>
        <row r="26">
          <cell r="C26">
            <v>62.993185749280855</v>
          </cell>
          <cell r="D26">
            <v>75.07235542565985</v>
          </cell>
          <cell r="E26">
            <v>274.74732297293178</v>
          </cell>
          <cell r="F26">
            <v>-50.507288939919349</v>
          </cell>
          <cell r="G26">
            <v>303.99610614244619</v>
          </cell>
          <cell r="H26">
            <v>175.39848881466276</v>
          </cell>
          <cell r="I26">
            <v>194.63172910978628</v>
          </cell>
          <cell r="J26">
            <v>44.1391707509665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>
            <v>62.993185749280855</v>
          </cell>
          <cell r="X26">
            <v>75.07235542565985</v>
          </cell>
          <cell r="Y26">
            <v>274.74732297293178</v>
          </cell>
          <cell r="Z26">
            <v>-50.507288939919349</v>
          </cell>
          <cell r="AA26">
            <v>303.99610614244619</v>
          </cell>
          <cell r="AB26">
            <v>175.39848881466276</v>
          </cell>
          <cell r="AC26">
            <v>194.26228012824899</v>
          </cell>
          <cell r="AD26">
            <v>40.609344598879332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e">
            <v>#VALUE!</v>
          </cell>
          <cell r="AN26" t="e">
            <v>#VALUE!</v>
          </cell>
          <cell r="AO26" t="e">
            <v>#VALUE!</v>
          </cell>
          <cell r="AP26" t="e">
            <v>#VALUE!</v>
          </cell>
          <cell r="AQ26">
            <v>62.993185749280855</v>
          </cell>
          <cell r="AR26">
            <v>75.07235542565985</v>
          </cell>
          <cell r="AS26">
            <v>274.74732297293178</v>
          </cell>
          <cell r="AT26">
            <v>-50.507288939919349</v>
          </cell>
          <cell r="AU26">
            <v>303.99610614244619</v>
          </cell>
          <cell r="AV26">
            <v>175.39848881466276</v>
          </cell>
          <cell r="AW26">
            <v>193.6338778979032</v>
          </cell>
          <cell r="AX26">
            <v>37.034591903039157</v>
          </cell>
          <cell r="AY26" t="e">
            <v>#VALUE!</v>
          </cell>
          <cell r="AZ26" t="e">
            <v>#VALUE!</v>
          </cell>
          <cell r="BA26" t="e">
            <v>#VALUE!</v>
          </cell>
          <cell r="BB26" t="e">
            <v>#VALUE!</v>
          </cell>
          <cell r="BC26" t="e">
            <v>#VALUE!</v>
          </cell>
          <cell r="BD26" t="e">
            <v>#VALUE!</v>
          </cell>
          <cell r="BE26" t="e">
            <v>#VALUE!</v>
          </cell>
          <cell r="BF26" t="e">
            <v>#VALUE!</v>
          </cell>
          <cell r="BG26" t="e">
            <v>#VALUE!</v>
          </cell>
          <cell r="BH26" t="e">
            <v>#VALUE!</v>
          </cell>
          <cell r="BI26" t="e">
            <v>#VALUE!</v>
          </cell>
          <cell r="BJ26" t="e">
            <v>#VALUE!</v>
          </cell>
          <cell r="BK26">
            <v>62.993185749280855</v>
          </cell>
          <cell r="BL26">
            <v>75.07235542565985</v>
          </cell>
          <cell r="BM26">
            <v>274.74732297293178</v>
          </cell>
          <cell r="BN26">
            <v>-50.507288939919349</v>
          </cell>
          <cell r="BO26">
            <v>303.99610614244619</v>
          </cell>
          <cell r="BP26">
            <v>175.39848881466276</v>
          </cell>
          <cell r="BQ26">
            <v>191.71929180775598</v>
          </cell>
          <cell r="BR26">
            <v>30.306700680371588</v>
          </cell>
          <cell r="BS26" t="e">
            <v>#VALUE!</v>
          </cell>
          <cell r="BT26" t="e">
            <v>#VALUE!</v>
          </cell>
          <cell r="BU26" t="e">
            <v>#VALUE!</v>
          </cell>
          <cell r="BV26" t="e">
            <v>#VALUE!</v>
          </cell>
          <cell r="BW26" t="e">
            <v>#VALUE!</v>
          </cell>
          <cell r="BX26" t="e">
            <v>#VALUE!</v>
          </cell>
          <cell r="BY26" t="e">
            <v>#VALUE!</v>
          </cell>
          <cell r="BZ26" t="e">
            <v>#VALUE!</v>
          </cell>
          <cell r="CA26" t="e">
            <v>#VALUE!</v>
          </cell>
          <cell r="CB26" t="e">
            <v>#VALUE!</v>
          </cell>
          <cell r="CC26" t="e">
            <v>#VALUE!</v>
          </cell>
          <cell r="CD26" t="e">
            <v>#VALUE!</v>
          </cell>
        </row>
        <row r="27">
          <cell r="C27">
            <v>49.000000000000014</v>
          </cell>
          <cell r="D27">
            <v>84.87048957087498</v>
          </cell>
          <cell r="E27">
            <v>269.25</v>
          </cell>
          <cell r="F27">
            <v>-46.658021954299116</v>
          </cell>
          <cell r="G27">
            <v>296</v>
          </cell>
          <cell r="H27">
            <v>180.99742261192856</v>
          </cell>
          <cell r="I27">
            <v>189.46281763913353</v>
          </cell>
          <cell r="J27">
            <v>47.758481527056169</v>
          </cell>
          <cell r="K27" t="e">
            <v>#VALUE!</v>
          </cell>
          <cell r="L27" t="e">
            <v>#VALUE!</v>
          </cell>
          <cell r="M27" t="e">
            <v>#VALUE!</v>
          </cell>
          <cell r="N27" t="e">
            <v>#VALUE!</v>
          </cell>
          <cell r="O27" t="e">
            <v>#VALUE!</v>
          </cell>
          <cell r="P27" t="e">
            <v>#VALUE!</v>
          </cell>
          <cell r="Q27" t="e">
            <v>#VALUE!</v>
          </cell>
          <cell r="R27" t="e">
            <v>#VALUE!</v>
          </cell>
          <cell r="S27" t="e">
            <v>#VALUE!</v>
          </cell>
          <cell r="T27" t="e">
            <v>#VALUE!</v>
          </cell>
          <cell r="U27" t="e">
            <v>#VALUE!</v>
          </cell>
          <cell r="V27" t="e">
            <v>#VALUE!</v>
          </cell>
          <cell r="W27">
            <v>49.000000000000014</v>
          </cell>
          <cell r="X27">
            <v>84.87048957087498</v>
          </cell>
          <cell r="Y27">
            <v>269.25</v>
          </cell>
          <cell r="Z27">
            <v>-46.658021954299116</v>
          </cell>
          <cell r="AA27">
            <v>296</v>
          </cell>
          <cell r="AB27">
            <v>180.99742261192856</v>
          </cell>
          <cell r="AC27">
            <v>189.09336865759624</v>
          </cell>
          <cell r="AD27">
            <v>44.228655374969001</v>
          </cell>
          <cell r="AE27" t="e">
            <v>#VALUE!</v>
          </cell>
          <cell r="AF27" t="e">
            <v>#VALUE!</v>
          </cell>
          <cell r="AG27" t="e">
            <v>#VALUE!</v>
          </cell>
          <cell r="AH27" t="e">
            <v>#VALUE!</v>
          </cell>
          <cell r="AI27" t="e">
            <v>#VALUE!</v>
          </cell>
          <cell r="AJ27" t="e">
            <v>#VALUE!</v>
          </cell>
          <cell r="AK27" t="e">
            <v>#VALUE!</v>
          </cell>
          <cell r="AL27" t="e">
            <v>#VALUE!</v>
          </cell>
          <cell r="AM27" t="e">
            <v>#VALUE!</v>
          </cell>
          <cell r="AN27" t="e">
            <v>#VALUE!</v>
          </cell>
          <cell r="AO27" t="e">
            <v>#VALUE!</v>
          </cell>
          <cell r="AP27" t="e">
            <v>#VALUE!</v>
          </cell>
          <cell r="AQ27">
            <v>49.000000000000014</v>
          </cell>
          <cell r="AR27">
            <v>84.87048957087498</v>
          </cell>
          <cell r="AS27">
            <v>269.25</v>
          </cell>
          <cell r="AT27">
            <v>-46.658021954299116</v>
          </cell>
          <cell r="AU27">
            <v>296</v>
          </cell>
          <cell r="AV27">
            <v>180.99742261192856</v>
          </cell>
          <cell r="AW27">
            <v>188.46496642725046</v>
          </cell>
          <cell r="AX27">
            <v>40.653902679128834</v>
          </cell>
          <cell r="AY27" t="e">
            <v>#VALUE!</v>
          </cell>
          <cell r="AZ27" t="e">
            <v>#VALUE!</v>
          </cell>
          <cell r="BA27" t="e">
            <v>#VALUE!</v>
          </cell>
          <cell r="BB27" t="e">
            <v>#VALUE!</v>
          </cell>
          <cell r="BC27" t="e">
            <v>#VALUE!</v>
          </cell>
          <cell r="BD27" t="e">
            <v>#VALUE!</v>
          </cell>
          <cell r="BE27" t="e">
            <v>#VALUE!</v>
          </cell>
          <cell r="BF27" t="e">
            <v>#VALUE!</v>
          </cell>
          <cell r="BG27" t="e">
            <v>#VALUE!</v>
          </cell>
          <cell r="BH27" t="e">
            <v>#VALUE!</v>
          </cell>
          <cell r="BI27" t="e">
            <v>#VALUE!</v>
          </cell>
          <cell r="BJ27" t="e">
            <v>#VALUE!</v>
          </cell>
          <cell r="BK27">
            <v>49.000000000000014</v>
          </cell>
          <cell r="BL27">
            <v>84.87048957087498</v>
          </cell>
          <cell r="BM27">
            <v>269.25</v>
          </cell>
          <cell r="BN27">
            <v>-46.658021954299116</v>
          </cell>
          <cell r="BO27">
            <v>296</v>
          </cell>
          <cell r="BP27">
            <v>180.99742261192856</v>
          </cell>
          <cell r="BQ27">
            <v>186.55038033710323</v>
          </cell>
          <cell r="BR27">
            <v>33.926011456461261</v>
          </cell>
          <cell r="BS27" t="e">
            <v>#VALUE!</v>
          </cell>
          <cell r="BT27" t="e">
            <v>#VALUE!</v>
          </cell>
          <cell r="BU27" t="e">
            <v>#VALUE!</v>
          </cell>
          <cell r="BV27" t="e">
            <v>#VALUE!</v>
          </cell>
          <cell r="BW27" t="e">
            <v>#VALUE!</v>
          </cell>
          <cell r="BX27" t="e">
            <v>#VALUE!</v>
          </cell>
          <cell r="BY27" t="e">
            <v>#VALUE!</v>
          </cell>
          <cell r="BZ27" t="e">
            <v>#VALUE!</v>
          </cell>
          <cell r="CA27" t="e">
            <v>#VALUE!</v>
          </cell>
          <cell r="CB27" t="e">
            <v>#VALUE!</v>
          </cell>
          <cell r="CC27" t="e">
            <v>#VALUE!</v>
          </cell>
          <cell r="CD27" t="e">
            <v>#VALUE!</v>
          </cell>
        </row>
        <row r="28">
          <cell r="C28">
            <v>33.517974045915544</v>
          </cell>
          <cell r="D28">
            <v>92.08987683701902</v>
          </cell>
          <cell r="E28">
            <v>263.16777551803824</v>
          </cell>
          <cell r="F28">
            <v>-43.821834099742532</v>
          </cell>
          <cell r="G28">
            <v>287.15312802623748</v>
          </cell>
          <cell r="H28">
            <v>185.12278676401087</v>
          </cell>
          <cell r="I28">
            <v>183.74394682752276</v>
          </cell>
          <cell r="J28">
            <v>50.425234782509371</v>
          </cell>
          <cell r="K28" t="e">
            <v>#VALUE!</v>
          </cell>
          <cell r="L28" t="e">
            <v>#VALUE!</v>
          </cell>
          <cell r="M28" t="e">
            <v>#VALUE!</v>
          </cell>
          <cell r="N28" t="e">
            <v>#VALUE!</v>
          </cell>
          <cell r="O28" t="e">
            <v>#VALUE!</v>
          </cell>
          <cell r="P28" t="e">
            <v>#VALUE!</v>
          </cell>
          <cell r="Q28" t="e">
            <v>#VALUE!</v>
          </cell>
          <cell r="R28" t="e">
            <v>#VALUE!</v>
          </cell>
          <cell r="S28" t="e">
            <v>#VALUE!</v>
          </cell>
          <cell r="T28" t="e">
            <v>#VALUE!</v>
          </cell>
          <cell r="U28" t="e">
            <v>#VALUE!</v>
          </cell>
          <cell r="V28" t="e">
            <v>#VALUE!</v>
          </cell>
          <cell r="W28">
            <v>33.517974045915544</v>
          </cell>
          <cell r="X28">
            <v>92.08987683701902</v>
          </cell>
          <cell r="Y28">
            <v>263.16777551803824</v>
          </cell>
          <cell r="Z28">
            <v>-43.821834099742532</v>
          </cell>
          <cell r="AA28">
            <v>287.15312802623748</v>
          </cell>
          <cell r="AB28">
            <v>185.12278676401087</v>
          </cell>
          <cell r="AC28">
            <v>183.37449784598547</v>
          </cell>
          <cell r="AD28">
            <v>46.895408630422203</v>
          </cell>
          <cell r="AE28" t="e">
            <v>#VALUE!</v>
          </cell>
          <cell r="AF28" t="e">
            <v>#VALUE!</v>
          </cell>
          <cell r="AG28" t="e">
            <v>#VALUE!</v>
          </cell>
          <cell r="AH28" t="e">
            <v>#VALUE!</v>
          </cell>
          <cell r="AI28" t="e">
            <v>#VALUE!</v>
          </cell>
          <cell r="AJ28" t="e">
            <v>#VALUE!</v>
          </cell>
          <cell r="AK28" t="e">
            <v>#VALUE!</v>
          </cell>
          <cell r="AL28" t="e">
            <v>#VALUE!</v>
          </cell>
          <cell r="AM28" t="e">
            <v>#VALUE!</v>
          </cell>
          <cell r="AN28" t="e">
            <v>#VALUE!</v>
          </cell>
          <cell r="AO28" t="e">
            <v>#VALUE!</v>
          </cell>
          <cell r="AP28" t="e">
            <v>#VALUE!</v>
          </cell>
          <cell r="AQ28">
            <v>33.517974045915544</v>
          </cell>
          <cell r="AR28">
            <v>92.08987683701902</v>
          </cell>
          <cell r="AS28">
            <v>263.16777551803824</v>
          </cell>
          <cell r="AT28">
            <v>-43.821834099742532</v>
          </cell>
          <cell r="AU28">
            <v>287.15312802623748</v>
          </cell>
          <cell r="AV28">
            <v>185.12278676401087</v>
          </cell>
          <cell r="AW28">
            <v>182.74609561563969</v>
          </cell>
          <cell r="AX28">
            <v>43.320655934582035</v>
          </cell>
          <cell r="AY28" t="e">
            <v>#VALUE!</v>
          </cell>
          <cell r="AZ28" t="e">
            <v>#VALUE!</v>
          </cell>
          <cell r="BA28" t="e">
            <v>#VALUE!</v>
          </cell>
          <cell r="BB28" t="e">
            <v>#VALUE!</v>
          </cell>
          <cell r="BC28" t="e">
            <v>#VALUE!</v>
          </cell>
          <cell r="BD28" t="e">
            <v>#VALUE!</v>
          </cell>
          <cell r="BE28" t="e">
            <v>#VALUE!</v>
          </cell>
          <cell r="BF28" t="e">
            <v>#VALUE!</v>
          </cell>
          <cell r="BG28" t="e">
            <v>#VALUE!</v>
          </cell>
          <cell r="BH28" t="e">
            <v>#VALUE!</v>
          </cell>
          <cell r="BI28" t="e">
            <v>#VALUE!</v>
          </cell>
          <cell r="BJ28" t="e">
            <v>#VALUE!</v>
          </cell>
          <cell r="BK28">
            <v>33.517974045915544</v>
          </cell>
          <cell r="BL28">
            <v>92.08987683701902</v>
          </cell>
          <cell r="BM28">
            <v>263.16777551803824</v>
          </cell>
          <cell r="BN28">
            <v>-43.821834099742532</v>
          </cell>
          <cell r="BO28">
            <v>287.15312802623748</v>
          </cell>
          <cell r="BP28">
            <v>185.12278676401087</v>
          </cell>
          <cell r="BQ28">
            <v>180.83150952549246</v>
          </cell>
          <cell r="BR28">
            <v>36.592764711914462</v>
          </cell>
          <cell r="BS28" t="e">
            <v>#VALUE!</v>
          </cell>
          <cell r="BT28" t="e">
            <v>#VALUE!</v>
          </cell>
          <cell r="BU28" t="e">
            <v>#VALUE!</v>
          </cell>
          <cell r="BV28" t="e">
            <v>#VALUE!</v>
          </cell>
          <cell r="BW28" t="e">
            <v>#VALUE!</v>
          </cell>
          <cell r="BX28" t="e">
            <v>#VALUE!</v>
          </cell>
          <cell r="BY28" t="e">
            <v>#VALUE!</v>
          </cell>
          <cell r="BZ28" t="e">
            <v>#VALUE!</v>
          </cell>
          <cell r="CA28" t="e">
            <v>#VALUE!</v>
          </cell>
          <cell r="CB28" t="e">
            <v>#VALUE!</v>
          </cell>
          <cell r="CC28" t="e">
            <v>#VALUE!</v>
          </cell>
          <cell r="CD28" t="e">
            <v>#VALUE!</v>
          </cell>
        </row>
        <row r="29">
          <cell r="C29">
            <v>17.01752141135918</v>
          </cell>
          <cell r="D29">
            <v>96.511159795196392</v>
          </cell>
          <cell r="E29">
            <v>256.68545484017682</v>
          </cell>
          <cell r="F29">
            <v>-42.08490150902999</v>
          </cell>
          <cell r="G29">
            <v>277.72429794934811</v>
          </cell>
          <cell r="H29">
            <v>187.64923416868365</v>
          </cell>
          <cell r="I29">
            <v>177.64888167067642</v>
          </cell>
          <cell r="J29">
            <v>52.058402569101425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>
            <v>17.01752141135918</v>
          </cell>
          <cell r="X29">
            <v>96.511159795196392</v>
          </cell>
          <cell r="Y29">
            <v>256.68545484017682</v>
          </cell>
          <cell r="Z29">
            <v>-42.08490150902999</v>
          </cell>
          <cell r="AA29">
            <v>277.72429794934811</v>
          </cell>
          <cell r="AB29">
            <v>187.64923416868365</v>
          </cell>
          <cell r="AC29">
            <v>177.27943268913913</v>
          </cell>
          <cell r="AD29">
            <v>48.528576417014257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e">
            <v>#VALUE!</v>
          </cell>
          <cell r="AN29" t="e">
            <v>#VALUE!</v>
          </cell>
          <cell r="AO29" t="e">
            <v>#VALUE!</v>
          </cell>
          <cell r="AP29" t="e">
            <v>#VALUE!</v>
          </cell>
          <cell r="AQ29">
            <v>17.01752141135918</v>
          </cell>
          <cell r="AR29">
            <v>96.511159795196392</v>
          </cell>
          <cell r="AS29">
            <v>256.68545484017682</v>
          </cell>
          <cell r="AT29">
            <v>-42.08490150902999</v>
          </cell>
          <cell r="AU29">
            <v>277.72429794934811</v>
          </cell>
          <cell r="AV29">
            <v>187.64923416868365</v>
          </cell>
          <cell r="AW29">
            <v>176.65103045879334</v>
          </cell>
          <cell r="AX29">
            <v>44.953823721174089</v>
          </cell>
          <cell r="AY29" t="e">
            <v>#VALUE!</v>
          </cell>
          <cell r="AZ29" t="e">
            <v>#VALUE!</v>
          </cell>
          <cell r="BA29" t="e">
            <v>#VALUE!</v>
          </cell>
          <cell r="BB29" t="e">
            <v>#VALUE!</v>
          </cell>
          <cell r="BC29" t="e">
            <v>#VALUE!</v>
          </cell>
          <cell r="BD29" t="e">
            <v>#VALUE!</v>
          </cell>
          <cell r="BE29" t="e">
            <v>#VALUE!</v>
          </cell>
          <cell r="BF29" t="e">
            <v>#VALUE!</v>
          </cell>
          <cell r="BG29" t="e">
            <v>#VALUE!</v>
          </cell>
          <cell r="BH29" t="e">
            <v>#VALUE!</v>
          </cell>
          <cell r="BI29" t="e">
            <v>#VALUE!</v>
          </cell>
          <cell r="BJ29" t="e">
            <v>#VALUE!</v>
          </cell>
          <cell r="BK29">
            <v>17.01752141135918</v>
          </cell>
          <cell r="BL29">
            <v>96.511159795196392</v>
          </cell>
          <cell r="BM29">
            <v>256.68545484017682</v>
          </cell>
          <cell r="BN29">
            <v>-42.08490150902999</v>
          </cell>
          <cell r="BO29">
            <v>277.72429794934811</v>
          </cell>
          <cell r="BP29">
            <v>187.64923416868365</v>
          </cell>
          <cell r="BQ29">
            <v>174.73644436864612</v>
          </cell>
          <cell r="BR29">
            <v>38.225932498506516</v>
          </cell>
          <cell r="BS29" t="e">
            <v>#VALUE!</v>
          </cell>
          <cell r="BT29" t="e">
            <v>#VALUE!</v>
          </cell>
          <cell r="BU29" t="e">
            <v>#VALUE!</v>
          </cell>
          <cell r="BV29" t="e">
            <v>#VALUE!</v>
          </cell>
          <cell r="BW29" t="e">
            <v>#VALUE!</v>
          </cell>
          <cell r="BX29" t="e">
            <v>#VALUE!</v>
          </cell>
          <cell r="BY29" t="e">
            <v>#VALUE!</v>
          </cell>
          <cell r="BZ29" t="e">
            <v>#VALUE!</v>
          </cell>
          <cell r="CA29" t="e">
            <v>#VALUE!</v>
          </cell>
          <cell r="CB29" t="e">
            <v>#VALUE!</v>
          </cell>
          <cell r="CC29" t="e">
            <v>#VALUE!</v>
          </cell>
          <cell r="CD29" t="e">
            <v>#VALUE!</v>
          </cell>
        </row>
        <row r="30">
          <cell r="C30">
            <v>6.0032274290522381E-15</v>
          </cell>
          <cell r="D30">
            <v>98</v>
          </cell>
          <cell r="E30">
            <v>250</v>
          </cell>
          <cell r="F30">
            <v>-41.5</v>
          </cell>
          <cell r="G30">
            <v>268</v>
          </cell>
          <cell r="H30">
            <v>188.5</v>
          </cell>
          <cell r="I30">
            <v>171.36281763913354</v>
          </cell>
          <cell r="J30">
            <v>52.608361910059493</v>
          </cell>
          <cell r="K30" t="e">
            <v>#VALUE!</v>
          </cell>
          <cell r="L30" t="e">
            <v>#VALUE!</v>
          </cell>
          <cell r="M30" t="e">
            <v>#VALUE!</v>
          </cell>
          <cell r="N30" t="e">
            <v>#VALUE!</v>
          </cell>
          <cell r="O30" t="e">
            <v>#VALUE!</v>
          </cell>
          <cell r="P30" t="e">
            <v>#VALUE!</v>
          </cell>
          <cell r="Q30" t="e">
            <v>#VALUE!</v>
          </cell>
          <cell r="R30" t="e">
            <v>#VALUE!</v>
          </cell>
          <cell r="S30" t="e">
            <v>#VALUE!</v>
          </cell>
          <cell r="T30" t="e">
            <v>#VALUE!</v>
          </cell>
          <cell r="U30" t="e">
            <v>#VALUE!</v>
          </cell>
          <cell r="V30" t="e">
            <v>#VALUE!</v>
          </cell>
          <cell r="W30">
            <v>6.0032274290522381E-15</v>
          </cell>
          <cell r="X30">
            <v>98</v>
          </cell>
          <cell r="Y30">
            <v>250</v>
          </cell>
          <cell r="Z30">
            <v>-41.5</v>
          </cell>
          <cell r="AA30">
            <v>268</v>
          </cell>
          <cell r="AB30">
            <v>188.5</v>
          </cell>
          <cell r="AC30">
            <v>170.99336865759625</v>
          </cell>
          <cell r="AD30">
            <v>49.078535757972325</v>
          </cell>
          <cell r="AE30" t="e">
            <v>#VALUE!</v>
          </cell>
          <cell r="AF30" t="e">
            <v>#VALUE!</v>
          </cell>
          <cell r="AG30" t="e">
            <v>#VALUE!</v>
          </cell>
          <cell r="AH30" t="e">
            <v>#VALUE!</v>
          </cell>
          <cell r="AI30" t="e">
            <v>#VALUE!</v>
          </cell>
          <cell r="AJ30" t="e">
            <v>#VALUE!</v>
          </cell>
          <cell r="AK30" t="e">
            <v>#VALUE!</v>
          </cell>
          <cell r="AL30" t="e">
            <v>#VALUE!</v>
          </cell>
          <cell r="AM30" t="e">
            <v>#VALUE!</v>
          </cell>
          <cell r="AN30" t="e">
            <v>#VALUE!</v>
          </cell>
          <cell r="AO30" t="e">
            <v>#VALUE!</v>
          </cell>
          <cell r="AP30" t="e">
            <v>#VALUE!</v>
          </cell>
          <cell r="AQ30">
            <v>6.0032274290522381E-15</v>
          </cell>
          <cell r="AR30">
            <v>98</v>
          </cell>
          <cell r="AS30">
            <v>250</v>
          </cell>
          <cell r="AT30">
            <v>-41.5</v>
          </cell>
          <cell r="AU30">
            <v>268</v>
          </cell>
          <cell r="AV30">
            <v>188.5</v>
          </cell>
          <cell r="AW30">
            <v>170.36496642725047</v>
          </cell>
          <cell r="AX30">
            <v>45.503783062132158</v>
          </cell>
          <cell r="AY30" t="e">
            <v>#VALUE!</v>
          </cell>
          <cell r="AZ30" t="e">
            <v>#VALUE!</v>
          </cell>
          <cell r="BA30" t="e">
            <v>#VALUE!</v>
          </cell>
          <cell r="BB30" t="e">
            <v>#VALUE!</v>
          </cell>
          <cell r="BC30" t="e">
            <v>#VALUE!</v>
          </cell>
          <cell r="BD30" t="e">
            <v>#VALUE!</v>
          </cell>
          <cell r="BE30" t="e">
            <v>#VALUE!</v>
          </cell>
          <cell r="BF30" t="e">
            <v>#VALUE!</v>
          </cell>
          <cell r="BG30" t="e">
            <v>#VALUE!</v>
          </cell>
          <cell r="BH30" t="e">
            <v>#VALUE!</v>
          </cell>
          <cell r="BI30" t="e">
            <v>#VALUE!</v>
          </cell>
          <cell r="BJ30" t="e">
            <v>#VALUE!</v>
          </cell>
          <cell r="BK30">
            <v>6.0032274290522381E-15</v>
          </cell>
          <cell r="BL30">
            <v>98</v>
          </cell>
          <cell r="BM30">
            <v>250</v>
          </cell>
          <cell r="BN30">
            <v>-41.5</v>
          </cell>
          <cell r="BO30">
            <v>268</v>
          </cell>
          <cell r="BP30">
            <v>188.5</v>
          </cell>
          <cell r="BQ30">
            <v>168.45038033710324</v>
          </cell>
          <cell r="BR30">
            <v>38.775891839464585</v>
          </cell>
          <cell r="BS30" t="e">
            <v>#VALUE!</v>
          </cell>
          <cell r="BT30" t="e">
            <v>#VALUE!</v>
          </cell>
          <cell r="BU30" t="e">
            <v>#VALUE!</v>
          </cell>
          <cell r="BV30" t="e">
            <v>#VALUE!</v>
          </cell>
          <cell r="BW30" t="e">
            <v>#VALUE!</v>
          </cell>
          <cell r="BX30" t="e">
            <v>#VALUE!</v>
          </cell>
          <cell r="BY30" t="e">
            <v>#VALUE!</v>
          </cell>
          <cell r="BZ30" t="e">
            <v>#VALUE!</v>
          </cell>
          <cell r="CA30" t="e">
            <v>#VALUE!</v>
          </cell>
          <cell r="CB30" t="e">
            <v>#VALUE!</v>
          </cell>
          <cell r="CC30" t="e">
            <v>#VALUE!</v>
          </cell>
          <cell r="CD30" t="e">
            <v>#VALUE!</v>
          </cell>
        </row>
        <row r="31">
          <cell r="C31">
            <v>-17.017521411359169</v>
          </cell>
          <cell r="D31">
            <v>96.511159795196392</v>
          </cell>
          <cell r="E31">
            <v>243.31454515982318</v>
          </cell>
          <cell r="F31">
            <v>-42.08490150902999</v>
          </cell>
          <cell r="G31">
            <v>258.27570205065189</v>
          </cell>
          <cell r="H31">
            <v>187.64923416868365</v>
          </cell>
          <cell r="I31">
            <v>165.07675360759066</v>
          </cell>
          <cell r="J31">
            <v>52.058402569101425</v>
          </cell>
          <cell r="K31" t="e">
            <v>#VALUE!</v>
          </cell>
          <cell r="L31" t="e">
            <v>#VALUE!</v>
          </cell>
          <cell r="M31" t="e">
            <v>#VALUE!</v>
          </cell>
          <cell r="N31" t="e">
            <v>#VALUE!</v>
          </cell>
          <cell r="O31" t="e">
            <v>#VALUE!</v>
          </cell>
          <cell r="P31" t="e">
            <v>#VALUE!</v>
          </cell>
          <cell r="Q31" t="e">
            <v>#VALUE!</v>
          </cell>
          <cell r="R31" t="e">
            <v>#VALUE!</v>
          </cell>
          <cell r="S31" t="e">
            <v>#VALUE!</v>
          </cell>
          <cell r="T31" t="e">
            <v>#VALUE!</v>
          </cell>
          <cell r="U31" t="e">
            <v>#VALUE!</v>
          </cell>
          <cell r="V31" t="e">
            <v>#VALUE!</v>
          </cell>
          <cell r="W31">
            <v>-17.017521411359169</v>
          </cell>
          <cell r="X31">
            <v>96.511159795196392</v>
          </cell>
          <cell r="Y31">
            <v>243.31454515982318</v>
          </cell>
          <cell r="Z31">
            <v>-42.08490150902999</v>
          </cell>
          <cell r="AA31">
            <v>258.27570205065189</v>
          </cell>
          <cell r="AB31">
            <v>187.64923416868365</v>
          </cell>
          <cell r="AC31">
            <v>164.70730462605337</v>
          </cell>
          <cell r="AD31">
            <v>48.528576417014257</v>
          </cell>
          <cell r="AE31" t="e">
            <v>#VALUE!</v>
          </cell>
          <cell r="AF31" t="e">
            <v>#VALUE!</v>
          </cell>
          <cell r="AG31" t="e">
            <v>#VALUE!</v>
          </cell>
          <cell r="AH31" t="e">
            <v>#VALUE!</v>
          </cell>
          <cell r="AI31" t="e">
            <v>#VALUE!</v>
          </cell>
          <cell r="AJ31" t="e">
            <v>#VALUE!</v>
          </cell>
          <cell r="AK31" t="e">
            <v>#VALUE!</v>
          </cell>
          <cell r="AL31" t="e">
            <v>#VALUE!</v>
          </cell>
          <cell r="AM31" t="e">
            <v>#VALUE!</v>
          </cell>
          <cell r="AN31" t="e">
            <v>#VALUE!</v>
          </cell>
          <cell r="AO31" t="e">
            <v>#VALUE!</v>
          </cell>
          <cell r="AP31" t="e">
            <v>#VALUE!</v>
          </cell>
          <cell r="AQ31">
            <v>-17.017521411359169</v>
          </cell>
          <cell r="AR31">
            <v>96.511159795196392</v>
          </cell>
          <cell r="AS31">
            <v>243.31454515982318</v>
          </cell>
          <cell r="AT31">
            <v>-42.08490150902999</v>
          </cell>
          <cell r="AU31">
            <v>258.27570205065189</v>
          </cell>
          <cell r="AV31">
            <v>187.64923416868365</v>
          </cell>
          <cell r="AW31">
            <v>164.07890239570759</v>
          </cell>
          <cell r="AX31">
            <v>44.953823721174089</v>
          </cell>
          <cell r="AY31" t="e">
            <v>#VALUE!</v>
          </cell>
          <cell r="AZ31" t="e">
            <v>#VALUE!</v>
          </cell>
          <cell r="BA31" t="e">
            <v>#VALUE!</v>
          </cell>
          <cell r="BB31" t="e">
            <v>#VALUE!</v>
          </cell>
          <cell r="BC31" t="e">
            <v>#VALUE!</v>
          </cell>
          <cell r="BD31" t="e">
            <v>#VALUE!</v>
          </cell>
          <cell r="BE31" t="e">
            <v>#VALUE!</v>
          </cell>
          <cell r="BF31" t="e">
            <v>#VALUE!</v>
          </cell>
          <cell r="BG31" t="e">
            <v>#VALUE!</v>
          </cell>
          <cell r="BH31" t="e">
            <v>#VALUE!</v>
          </cell>
          <cell r="BI31" t="e">
            <v>#VALUE!</v>
          </cell>
          <cell r="BJ31" t="e">
            <v>#VALUE!</v>
          </cell>
          <cell r="BK31">
            <v>-17.017521411359169</v>
          </cell>
          <cell r="BL31">
            <v>96.511159795196392</v>
          </cell>
          <cell r="BM31">
            <v>243.31454515982318</v>
          </cell>
          <cell r="BN31">
            <v>-42.08490150902999</v>
          </cell>
          <cell r="BO31">
            <v>258.27570205065189</v>
          </cell>
          <cell r="BP31">
            <v>187.64923416868365</v>
          </cell>
          <cell r="BQ31">
            <v>162.16431630556036</v>
          </cell>
          <cell r="BR31">
            <v>38.225932498506516</v>
          </cell>
          <cell r="BS31" t="e">
            <v>#VALUE!</v>
          </cell>
          <cell r="BT31" t="e">
            <v>#VALUE!</v>
          </cell>
          <cell r="BU31" t="e">
            <v>#VALUE!</v>
          </cell>
          <cell r="BV31" t="e">
            <v>#VALUE!</v>
          </cell>
          <cell r="BW31" t="e">
            <v>#VALUE!</v>
          </cell>
          <cell r="BX31" t="e">
            <v>#VALUE!</v>
          </cell>
          <cell r="BY31" t="e">
            <v>#VALUE!</v>
          </cell>
          <cell r="BZ31" t="e">
            <v>#VALUE!</v>
          </cell>
          <cell r="CA31" t="e">
            <v>#VALUE!</v>
          </cell>
          <cell r="CB31" t="e">
            <v>#VALUE!</v>
          </cell>
          <cell r="CC31" t="e">
            <v>#VALUE!</v>
          </cell>
          <cell r="CD31" t="e">
            <v>#VALUE!</v>
          </cell>
        </row>
        <row r="32">
          <cell r="C32">
            <v>-33.517974045915537</v>
          </cell>
          <cell r="D32">
            <v>92.08987683701902</v>
          </cell>
          <cell r="E32">
            <v>236.83222448196176</v>
          </cell>
          <cell r="F32">
            <v>-43.821834099742524</v>
          </cell>
          <cell r="G32">
            <v>248.84687197376255</v>
          </cell>
          <cell r="H32">
            <v>185.12278676401087</v>
          </cell>
          <cell r="I32">
            <v>158.98168845074434</v>
          </cell>
          <cell r="J32">
            <v>50.425234782509378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>
            <v>-33.517974045915537</v>
          </cell>
          <cell r="X32">
            <v>92.08987683701902</v>
          </cell>
          <cell r="Y32">
            <v>236.83222448196176</v>
          </cell>
          <cell r="Z32">
            <v>-43.821834099742524</v>
          </cell>
          <cell r="AA32">
            <v>248.84687197376255</v>
          </cell>
          <cell r="AB32">
            <v>185.12278676401087</v>
          </cell>
          <cell r="AC32">
            <v>158.61223946920705</v>
          </cell>
          <cell r="AD32">
            <v>46.89540863042221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e">
            <v>#VALUE!</v>
          </cell>
          <cell r="AN32" t="e">
            <v>#VALUE!</v>
          </cell>
          <cell r="AO32" t="e">
            <v>#VALUE!</v>
          </cell>
          <cell r="AP32" t="e">
            <v>#VALUE!</v>
          </cell>
          <cell r="AQ32">
            <v>-33.517974045915537</v>
          </cell>
          <cell r="AR32">
            <v>92.08987683701902</v>
          </cell>
          <cell r="AS32">
            <v>236.83222448196176</v>
          </cell>
          <cell r="AT32">
            <v>-43.821834099742524</v>
          </cell>
          <cell r="AU32">
            <v>248.84687197376255</v>
          </cell>
          <cell r="AV32">
            <v>185.12278676401087</v>
          </cell>
          <cell r="AW32">
            <v>157.98383723886127</v>
          </cell>
          <cell r="AX32">
            <v>43.320655934582035</v>
          </cell>
          <cell r="AY32" t="e">
            <v>#VALUE!</v>
          </cell>
          <cell r="AZ32" t="e">
            <v>#VALUE!</v>
          </cell>
          <cell r="BA32" t="e">
            <v>#VALUE!</v>
          </cell>
          <cell r="BB32" t="e">
            <v>#VALUE!</v>
          </cell>
          <cell r="BC32" t="e">
            <v>#VALUE!</v>
          </cell>
          <cell r="BD32" t="e">
            <v>#VALUE!</v>
          </cell>
          <cell r="BE32" t="e">
            <v>#VALUE!</v>
          </cell>
          <cell r="BF32" t="e">
            <v>#VALUE!</v>
          </cell>
          <cell r="BG32" t="e">
            <v>#VALUE!</v>
          </cell>
          <cell r="BH32" t="e">
            <v>#VALUE!</v>
          </cell>
          <cell r="BI32" t="e">
            <v>#VALUE!</v>
          </cell>
          <cell r="BJ32" t="e">
            <v>#VALUE!</v>
          </cell>
          <cell r="BK32">
            <v>-33.517974045915537</v>
          </cell>
          <cell r="BL32">
            <v>92.08987683701902</v>
          </cell>
          <cell r="BM32">
            <v>236.83222448196176</v>
          </cell>
          <cell r="BN32">
            <v>-43.821834099742524</v>
          </cell>
          <cell r="BO32">
            <v>248.84687197376255</v>
          </cell>
          <cell r="BP32">
            <v>185.12278676401087</v>
          </cell>
          <cell r="BQ32">
            <v>156.06925114871405</v>
          </cell>
          <cell r="BR32">
            <v>36.592764711914469</v>
          </cell>
          <cell r="BS32" t="e">
            <v>#VALUE!</v>
          </cell>
          <cell r="BT32" t="e">
            <v>#VALUE!</v>
          </cell>
          <cell r="BU32" t="e">
            <v>#VALUE!</v>
          </cell>
          <cell r="BV32" t="e">
            <v>#VALUE!</v>
          </cell>
          <cell r="BW32" t="e">
            <v>#VALUE!</v>
          </cell>
          <cell r="BX32" t="e">
            <v>#VALUE!</v>
          </cell>
          <cell r="BY32" t="e">
            <v>#VALUE!</v>
          </cell>
          <cell r="BZ32" t="e">
            <v>#VALUE!</v>
          </cell>
          <cell r="CA32" t="e">
            <v>#VALUE!</v>
          </cell>
          <cell r="CB32" t="e">
            <v>#VALUE!</v>
          </cell>
          <cell r="CC32" t="e">
            <v>#VALUE!</v>
          </cell>
          <cell r="CD32" t="e">
            <v>#VALUE!</v>
          </cell>
        </row>
        <row r="33">
          <cell r="C33">
            <v>-48.999999999999979</v>
          </cell>
          <cell r="D33">
            <v>84.870489570874994</v>
          </cell>
          <cell r="E33">
            <v>230.75</v>
          </cell>
          <cell r="F33">
            <v>-46.658021954299109</v>
          </cell>
          <cell r="G33">
            <v>240</v>
          </cell>
          <cell r="H33">
            <v>180.99742261192858</v>
          </cell>
          <cell r="I33">
            <v>153.26281763913354</v>
          </cell>
          <cell r="J33">
            <v>47.758481527056176</v>
          </cell>
          <cell r="K33" t="e">
            <v>#VALUE!</v>
          </cell>
          <cell r="L33" t="e">
            <v>#VALUE!</v>
          </cell>
          <cell r="M33" t="e">
            <v>#VALUE!</v>
          </cell>
          <cell r="N33" t="e">
            <v>#VALUE!</v>
          </cell>
          <cell r="O33" t="e">
            <v>#VALUE!</v>
          </cell>
          <cell r="P33" t="e">
            <v>#VALUE!</v>
          </cell>
          <cell r="Q33" t="e">
            <v>#VALUE!</v>
          </cell>
          <cell r="R33" t="e">
            <v>#VALUE!</v>
          </cell>
          <cell r="S33" t="e">
            <v>#VALUE!</v>
          </cell>
          <cell r="T33" t="e">
            <v>#VALUE!</v>
          </cell>
          <cell r="U33" t="e">
            <v>#VALUE!</v>
          </cell>
          <cell r="V33" t="e">
            <v>#VALUE!</v>
          </cell>
          <cell r="W33">
            <v>-48.999999999999979</v>
          </cell>
          <cell r="X33">
            <v>84.870489570874994</v>
          </cell>
          <cell r="Y33">
            <v>230.75</v>
          </cell>
          <cell r="Z33">
            <v>-46.658021954299109</v>
          </cell>
          <cell r="AA33">
            <v>240</v>
          </cell>
          <cell r="AB33">
            <v>180.99742261192858</v>
          </cell>
          <cell r="AC33">
            <v>152.89336865759626</v>
          </cell>
          <cell r="AD33">
            <v>44.228655374969009</v>
          </cell>
          <cell r="AE33" t="e">
            <v>#VALUE!</v>
          </cell>
          <cell r="AF33" t="e">
            <v>#VALUE!</v>
          </cell>
          <cell r="AG33" t="e">
            <v>#VALUE!</v>
          </cell>
          <cell r="AH33" t="e">
            <v>#VALUE!</v>
          </cell>
          <cell r="AI33" t="e">
            <v>#VALUE!</v>
          </cell>
          <cell r="AJ33" t="e">
            <v>#VALUE!</v>
          </cell>
          <cell r="AK33" t="e">
            <v>#VALUE!</v>
          </cell>
          <cell r="AL33" t="e">
            <v>#VALUE!</v>
          </cell>
          <cell r="AM33" t="e">
            <v>#VALUE!</v>
          </cell>
          <cell r="AN33" t="e">
            <v>#VALUE!</v>
          </cell>
          <cell r="AO33" t="e">
            <v>#VALUE!</v>
          </cell>
          <cell r="AP33" t="e">
            <v>#VALUE!</v>
          </cell>
          <cell r="AQ33">
            <v>-48.999999999999979</v>
          </cell>
          <cell r="AR33">
            <v>84.870489570874994</v>
          </cell>
          <cell r="AS33">
            <v>230.75</v>
          </cell>
          <cell r="AT33">
            <v>-46.658021954299109</v>
          </cell>
          <cell r="AU33">
            <v>240</v>
          </cell>
          <cell r="AV33">
            <v>180.99742261192858</v>
          </cell>
          <cell r="AW33">
            <v>152.26496642725047</v>
          </cell>
          <cell r="AX33">
            <v>40.653902679128834</v>
          </cell>
          <cell r="AY33" t="e">
            <v>#VALUE!</v>
          </cell>
          <cell r="AZ33" t="e">
            <v>#VALUE!</v>
          </cell>
          <cell r="BA33" t="e">
            <v>#VALUE!</v>
          </cell>
          <cell r="BB33" t="e">
            <v>#VALUE!</v>
          </cell>
          <cell r="BC33" t="e">
            <v>#VALUE!</v>
          </cell>
          <cell r="BD33" t="e">
            <v>#VALUE!</v>
          </cell>
          <cell r="BE33" t="e">
            <v>#VALUE!</v>
          </cell>
          <cell r="BF33" t="e">
            <v>#VALUE!</v>
          </cell>
          <cell r="BG33" t="e">
            <v>#VALUE!</v>
          </cell>
          <cell r="BH33" t="e">
            <v>#VALUE!</v>
          </cell>
          <cell r="BI33" t="e">
            <v>#VALUE!</v>
          </cell>
          <cell r="BJ33" t="e">
            <v>#VALUE!</v>
          </cell>
          <cell r="BK33">
            <v>-48.999999999999979</v>
          </cell>
          <cell r="BL33">
            <v>84.870489570874994</v>
          </cell>
          <cell r="BM33">
            <v>230.75</v>
          </cell>
          <cell r="BN33">
            <v>-46.658021954299109</v>
          </cell>
          <cell r="BO33">
            <v>240</v>
          </cell>
          <cell r="BP33">
            <v>180.99742261192858</v>
          </cell>
          <cell r="BQ33">
            <v>150.35038033710325</v>
          </cell>
          <cell r="BR33">
            <v>33.926011456461268</v>
          </cell>
          <cell r="BS33" t="e">
            <v>#VALUE!</v>
          </cell>
          <cell r="BT33" t="e">
            <v>#VALUE!</v>
          </cell>
          <cell r="BU33" t="e">
            <v>#VALUE!</v>
          </cell>
          <cell r="BV33" t="e">
            <v>#VALUE!</v>
          </cell>
          <cell r="BW33" t="e">
            <v>#VALUE!</v>
          </cell>
          <cell r="BX33" t="e">
            <v>#VALUE!</v>
          </cell>
          <cell r="BY33" t="e">
            <v>#VALUE!</v>
          </cell>
          <cell r="BZ33" t="e">
            <v>#VALUE!</v>
          </cell>
          <cell r="CA33" t="e">
            <v>#VALUE!</v>
          </cell>
          <cell r="CB33" t="e">
            <v>#VALUE!</v>
          </cell>
          <cell r="CC33" t="e">
            <v>#VALUE!</v>
          </cell>
          <cell r="CD33" t="e">
            <v>#VALUE!</v>
          </cell>
        </row>
        <row r="34">
          <cell r="C34">
            <v>-62.993185749280855</v>
          </cell>
          <cell r="D34">
            <v>75.07235542565985</v>
          </cell>
          <cell r="E34">
            <v>225.25267702706824</v>
          </cell>
          <cell r="F34">
            <v>-50.507288939919349</v>
          </cell>
          <cell r="G34">
            <v>232.00389385755381</v>
          </cell>
          <cell r="H34">
            <v>175.39848881466276</v>
          </cell>
          <cell r="I34">
            <v>148.0939061684808</v>
          </cell>
          <cell r="J34">
            <v>44.1391707509665</v>
          </cell>
          <cell r="K34" t="e">
            <v>#VALUE!</v>
          </cell>
          <cell r="L34" t="e">
            <v>#VALUE!</v>
          </cell>
          <cell r="M34" t="e">
            <v>#VALUE!</v>
          </cell>
          <cell r="N34" t="e">
            <v>#VALUE!</v>
          </cell>
          <cell r="O34" t="e">
            <v>#VALUE!</v>
          </cell>
          <cell r="P34" t="e">
            <v>#VALUE!</v>
          </cell>
          <cell r="Q34" t="e">
            <v>#VALUE!</v>
          </cell>
          <cell r="R34" t="e">
            <v>#VALUE!</v>
          </cell>
          <cell r="S34" t="e">
            <v>#VALUE!</v>
          </cell>
          <cell r="T34" t="e">
            <v>#VALUE!</v>
          </cell>
          <cell r="U34" t="e">
            <v>#VALUE!</v>
          </cell>
          <cell r="V34" t="e">
            <v>#VALUE!</v>
          </cell>
          <cell r="W34">
            <v>-62.993185749280855</v>
          </cell>
          <cell r="X34">
            <v>75.07235542565985</v>
          </cell>
          <cell r="Y34">
            <v>225.25267702706824</v>
          </cell>
          <cell r="Z34">
            <v>-50.507288939919349</v>
          </cell>
          <cell r="AA34">
            <v>232.00389385755381</v>
          </cell>
          <cell r="AB34">
            <v>175.39848881466276</v>
          </cell>
          <cell r="AC34">
            <v>147.72445718694351</v>
          </cell>
          <cell r="AD34">
            <v>40.609344598879332</v>
          </cell>
          <cell r="AE34" t="e">
            <v>#VALUE!</v>
          </cell>
          <cell r="AF34" t="e">
            <v>#VALUE!</v>
          </cell>
          <cell r="AG34" t="e">
            <v>#VALUE!</v>
          </cell>
          <cell r="AH34" t="e">
            <v>#VALUE!</v>
          </cell>
          <cell r="AI34" t="e">
            <v>#VALUE!</v>
          </cell>
          <cell r="AJ34" t="e">
            <v>#VALUE!</v>
          </cell>
          <cell r="AK34" t="e">
            <v>#VALUE!</v>
          </cell>
          <cell r="AL34" t="e">
            <v>#VALUE!</v>
          </cell>
          <cell r="AM34" t="e">
            <v>#VALUE!</v>
          </cell>
          <cell r="AN34" t="e">
            <v>#VALUE!</v>
          </cell>
          <cell r="AO34" t="e">
            <v>#VALUE!</v>
          </cell>
          <cell r="AP34" t="e">
            <v>#VALUE!</v>
          </cell>
          <cell r="AQ34">
            <v>-62.993185749280855</v>
          </cell>
          <cell r="AR34">
            <v>75.07235542565985</v>
          </cell>
          <cell r="AS34">
            <v>225.25267702706824</v>
          </cell>
          <cell r="AT34">
            <v>-50.507288939919349</v>
          </cell>
          <cell r="AU34">
            <v>232.00389385755381</v>
          </cell>
          <cell r="AV34">
            <v>175.39848881466276</v>
          </cell>
          <cell r="AW34">
            <v>147.09605495659773</v>
          </cell>
          <cell r="AX34">
            <v>37.034591903039157</v>
          </cell>
          <cell r="AY34" t="e">
            <v>#VALUE!</v>
          </cell>
          <cell r="AZ34" t="e">
            <v>#VALUE!</v>
          </cell>
          <cell r="BA34" t="e">
            <v>#VALUE!</v>
          </cell>
          <cell r="BB34" t="e">
            <v>#VALUE!</v>
          </cell>
          <cell r="BC34" t="e">
            <v>#VALUE!</v>
          </cell>
          <cell r="BD34" t="e">
            <v>#VALUE!</v>
          </cell>
          <cell r="BE34" t="e">
            <v>#VALUE!</v>
          </cell>
          <cell r="BF34" t="e">
            <v>#VALUE!</v>
          </cell>
          <cell r="BG34" t="e">
            <v>#VALUE!</v>
          </cell>
          <cell r="BH34" t="e">
            <v>#VALUE!</v>
          </cell>
          <cell r="BI34" t="e">
            <v>#VALUE!</v>
          </cell>
          <cell r="BJ34" t="e">
            <v>#VALUE!</v>
          </cell>
          <cell r="BK34">
            <v>-62.993185749280855</v>
          </cell>
          <cell r="BL34">
            <v>75.07235542565985</v>
          </cell>
          <cell r="BM34">
            <v>225.25267702706824</v>
          </cell>
          <cell r="BN34">
            <v>-50.507288939919349</v>
          </cell>
          <cell r="BO34">
            <v>232.00389385755381</v>
          </cell>
          <cell r="BP34">
            <v>175.39848881466276</v>
          </cell>
          <cell r="BQ34">
            <v>145.1814688664505</v>
          </cell>
          <cell r="BR34">
            <v>30.306700680371588</v>
          </cell>
          <cell r="BS34" t="e">
            <v>#VALUE!</v>
          </cell>
          <cell r="BT34" t="e">
            <v>#VALUE!</v>
          </cell>
          <cell r="BU34" t="e">
            <v>#VALUE!</v>
          </cell>
          <cell r="BV34" t="e">
            <v>#VALUE!</v>
          </cell>
          <cell r="BW34" t="e">
            <v>#VALUE!</v>
          </cell>
          <cell r="BX34" t="e">
            <v>#VALUE!</v>
          </cell>
          <cell r="BY34" t="e">
            <v>#VALUE!</v>
          </cell>
          <cell r="BZ34" t="e">
            <v>#VALUE!</v>
          </cell>
          <cell r="CA34" t="e">
            <v>#VALUE!</v>
          </cell>
          <cell r="CB34" t="e">
            <v>#VALUE!</v>
          </cell>
          <cell r="CC34" t="e">
            <v>#VALUE!</v>
          </cell>
          <cell r="CD34" t="e">
            <v>#VALUE!</v>
          </cell>
        </row>
        <row r="35">
          <cell r="C35">
            <v>-75.072355425659836</v>
          </cell>
          <cell r="D35">
            <v>62.993185749280869</v>
          </cell>
          <cell r="E35">
            <v>220.50728893991936</v>
          </cell>
          <cell r="F35">
            <v>-55.252677027068231</v>
          </cell>
          <cell r="G35">
            <v>225.10151118533724</v>
          </cell>
          <cell r="H35">
            <v>168.49610614244619</v>
          </cell>
          <cell r="I35">
            <v>143.63200879822654</v>
          </cell>
          <cell r="J35">
            <v>39.677273380712222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>
            <v>-75.072355425659836</v>
          </cell>
          <cell r="X35">
            <v>62.993185749280869</v>
          </cell>
          <cell r="Y35">
            <v>220.50728893991936</v>
          </cell>
          <cell r="Z35">
            <v>-55.252677027068231</v>
          </cell>
          <cell r="AA35">
            <v>225.10151118533724</v>
          </cell>
          <cell r="AB35">
            <v>168.49610614244619</v>
          </cell>
          <cell r="AC35">
            <v>143.26255981668925</v>
          </cell>
          <cell r="AD35">
            <v>36.147447228625055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e">
            <v>#VALUE!</v>
          </cell>
          <cell r="AN35" t="e">
            <v>#VALUE!</v>
          </cell>
          <cell r="AO35" t="e">
            <v>#VALUE!</v>
          </cell>
          <cell r="AP35" t="e">
            <v>#VALUE!</v>
          </cell>
          <cell r="AQ35">
            <v>-75.072355425659836</v>
          </cell>
          <cell r="AR35">
            <v>62.993185749280869</v>
          </cell>
          <cell r="AS35">
            <v>220.50728893991936</v>
          </cell>
          <cell r="AT35">
            <v>-55.252677027068231</v>
          </cell>
          <cell r="AU35">
            <v>225.10151118533724</v>
          </cell>
          <cell r="AV35">
            <v>168.49610614244619</v>
          </cell>
          <cell r="AW35">
            <v>142.63415758634346</v>
          </cell>
          <cell r="AX35">
            <v>32.57269453278488</v>
          </cell>
          <cell r="AY35" t="e">
            <v>#VALUE!</v>
          </cell>
          <cell r="AZ35" t="e">
            <v>#VALUE!</v>
          </cell>
          <cell r="BA35" t="e">
            <v>#VALUE!</v>
          </cell>
          <cell r="BB35" t="e">
            <v>#VALUE!</v>
          </cell>
          <cell r="BC35" t="e">
            <v>#VALUE!</v>
          </cell>
          <cell r="BD35" t="e">
            <v>#VALUE!</v>
          </cell>
          <cell r="BE35" t="e">
            <v>#VALUE!</v>
          </cell>
          <cell r="BF35" t="e">
            <v>#VALUE!</v>
          </cell>
          <cell r="BG35" t="e">
            <v>#VALUE!</v>
          </cell>
          <cell r="BH35" t="e">
            <v>#VALUE!</v>
          </cell>
          <cell r="BI35" t="e">
            <v>#VALUE!</v>
          </cell>
          <cell r="BJ35" t="e">
            <v>#VALUE!</v>
          </cell>
          <cell r="BK35">
            <v>-75.072355425659836</v>
          </cell>
          <cell r="BL35">
            <v>62.993185749280869</v>
          </cell>
          <cell r="BM35">
            <v>220.50728893991936</v>
          </cell>
          <cell r="BN35">
            <v>-55.252677027068231</v>
          </cell>
          <cell r="BO35">
            <v>225.10151118533724</v>
          </cell>
          <cell r="BP35">
            <v>168.49610614244619</v>
          </cell>
          <cell r="BQ35">
            <v>140.71957149619624</v>
          </cell>
          <cell r="BR35">
            <v>25.844803310117314</v>
          </cell>
          <cell r="BS35" t="e">
            <v>#VALUE!</v>
          </cell>
          <cell r="BT35" t="e">
            <v>#VALUE!</v>
          </cell>
          <cell r="BU35" t="e">
            <v>#VALUE!</v>
          </cell>
          <cell r="BV35" t="e">
            <v>#VALUE!</v>
          </cell>
          <cell r="BW35" t="e">
            <v>#VALUE!</v>
          </cell>
          <cell r="BX35" t="e">
            <v>#VALUE!</v>
          </cell>
          <cell r="BY35" t="e">
            <v>#VALUE!</v>
          </cell>
          <cell r="BZ35" t="e">
            <v>#VALUE!</v>
          </cell>
          <cell r="CA35" t="e">
            <v>#VALUE!</v>
          </cell>
          <cell r="CB35" t="e">
            <v>#VALUE!</v>
          </cell>
          <cell r="CC35" t="e">
            <v>#VALUE!</v>
          </cell>
          <cell r="CD35" t="e">
            <v>#VALUE!</v>
          </cell>
        </row>
        <row r="36">
          <cell r="C36">
            <v>-84.870489570874994</v>
          </cell>
          <cell r="D36">
            <v>48.999999999999993</v>
          </cell>
          <cell r="E36">
            <v>216.6580219542991</v>
          </cell>
          <cell r="F36">
            <v>-60.75</v>
          </cell>
          <cell r="G36">
            <v>219.50257738807142</v>
          </cell>
          <cell r="H36">
            <v>160.5</v>
          </cell>
          <cell r="I36">
            <v>140.01269802213685</v>
          </cell>
          <cell r="J36">
            <v>34.508361910059492</v>
          </cell>
          <cell r="K36" t="e">
            <v>#VALUE!</v>
          </cell>
          <cell r="L36" t="e">
            <v>#VALUE!</v>
          </cell>
          <cell r="M36" t="e">
            <v>#VALUE!</v>
          </cell>
          <cell r="N36" t="e">
            <v>#VALUE!</v>
          </cell>
          <cell r="O36" t="e">
            <v>#VALUE!</v>
          </cell>
          <cell r="P36" t="e">
            <v>#VALUE!</v>
          </cell>
          <cell r="Q36" t="e">
            <v>#VALUE!</v>
          </cell>
          <cell r="R36" t="e">
            <v>#VALUE!</v>
          </cell>
          <cell r="S36" t="e">
            <v>#VALUE!</v>
          </cell>
          <cell r="T36" t="e">
            <v>#VALUE!</v>
          </cell>
          <cell r="U36" t="e">
            <v>#VALUE!</v>
          </cell>
          <cell r="V36" t="e">
            <v>#VALUE!</v>
          </cell>
          <cell r="W36">
            <v>-84.870489570874994</v>
          </cell>
          <cell r="X36">
            <v>48.999999999999993</v>
          </cell>
          <cell r="Y36">
            <v>216.6580219542991</v>
          </cell>
          <cell r="Z36">
            <v>-60.75</v>
          </cell>
          <cell r="AA36">
            <v>219.50257738807142</v>
          </cell>
          <cell r="AB36">
            <v>160.5</v>
          </cell>
          <cell r="AC36">
            <v>139.64324904059956</v>
          </cell>
          <cell r="AD36">
            <v>30.97853575797232</v>
          </cell>
          <cell r="AE36" t="e">
            <v>#VALUE!</v>
          </cell>
          <cell r="AF36" t="e">
            <v>#VALUE!</v>
          </cell>
          <cell r="AG36" t="e">
            <v>#VALUE!</v>
          </cell>
          <cell r="AH36" t="e">
            <v>#VALUE!</v>
          </cell>
          <cell r="AI36" t="e">
            <v>#VALUE!</v>
          </cell>
          <cell r="AJ36" t="e">
            <v>#VALUE!</v>
          </cell>
          <cell r="AK36" t="e">
            <v>#VALUE!</v>
          </cell>
          <cell r="AL36" t="e">
            <v>#VALUE!</v>
          </cell>
          <cell r="AM36" t="e">
            <v>#VALUE!</v>
          </cell>
          <cell r="AN36" t="e">
            <v>#VALUE!</v>
          </cell>
          <cell r="AO36" t="e">
            <v>#VALUE!</v>
          </cell>
          <cell r="AP36" t="e">
            <v>#VALUE!</v>
          </cell>
          <cell r="AQ36">
            <v>-84.870489570874994</v>
          </cell>
          <cell r="AR36">
            <v>48.999999999999993</v>
          </cell>
          <cell r="AS36">
            <v>216.6580219542991</v>
          </cell>
          <cell r="AT36">
            <v>-60.75</v>
          </cell>
          <cell r="AU36">
            <v>219.50257738807142</v>
          </cell>
          <cell r="AV36">
            <v>160.5</v>
          </cell>
          <cell r="AW36">
            <v>139.01484681025377</v>
          </cell>
          <cell r="AX36">
            <v>27.403783062132149</v>
          </cell>
          <cell r="AY36" t="e">
            <v>#VALUE!</v>
          </cell>
          <cell r="AZ36" t="e">
            <v>#VALUE!</v>
          </cell>
          <cell r="BA36" t="e">
            <v>#VALUE!</v>
          </cell>
          <cell r="BB36" t="e">
            <v>#VALUE!</v>
          </cell>
          <cell r="BC36" t="e">
            <v>#VALUE!</v>
          </cell>
          <cell r="BD36" t="e">
            <v>#VALUE!</v>
          </cell>
          <cell r="BE36" t="e">
            <v>#VALUE!</v>
          </cell>
          <cell r="BF36" t="e">
            <v>#VALUE!</v>
          </cell>
          <cell r="BG36" t="e">
            <v>#VALUE!</v>
          </cell>
          <cell r="BH36" t="e">
            <v>#VALUE!</v>
          </cell>
          <cell r="BI36" t="e">
            <v>#VALUE!</v>
          </cell>
          <cell r="BJ36" t="e">
            <v>#VALUE!</v>
          </cell>
          <cell r="BK36">
            <v>-84.870489570874994</v>
          </cell>
          <cell r="BL36">
            <v>48.999999999999993</v>
          </cell>
          <cell r="BM36">
            <v>216.6580219542991</v>
          </cell>
          <cell r="BN36">
            <v>-60.75</v>
          </cell>
          <cell r="BO36">
            <v>219.50257738807142</v>
          </cell>
          <cell r="BP36">
            <v>160.5</v>
          </cell>
          <cell r="BQ36">
            <v>137.10026072010655</v>
          </cell>
          <cell r="BR36">
            <v>20.67589183946458</v>
          </cell>
          <cell r="BS36" t="e">
            <v>#VALUE!</v>
          </cell>
          <cell r="BT36" t="e">
            <v>#VALUE!</v>
          </cell>
          <cell r="BU36" t="e">
            <v>#VALUE!</v>
          </cell>
          <cell r="BV36" t="e">
            <v>#VALUE!</v>
          </cell>
          <cell r="BW36" t="e">
            <v>#VALUE!</v>
          </cell>
          <cell r="BX36" t="e">
            <v>#VALUE!</v>
          </cell>
          <cell r="BY36" t="e">
            <v>#VALUE!</v>
          </cell>
          <cell r="BZ36" t="e">
            <v>#VALUE!</v>
          </cell>
          <cell r="CA36" t="e">
            <v>#VALUE!</v>
          </cell>
          <cell r="CB36" t="e">
            <v>#VALUE!</v>
          </cell>
          <cell r="CC36" t="e">
            <v>#VALUE!</v>
          </cell>
          <cell r="CD36" t="e">
            <v>#VALUE!</v>
          </cell>
        </row>
        <row r="37">
          <cell r="C37">
            <v>-92.08987683701902</v>
          </cell>
          <cell r="D37">
            <v>33.517974045915551</v>
          </cell>
          <cell r="E37">
            <v>213.82183409974255</v>
          </cell>
          <cell r="F37">
            <v>-66.832224481961745</v>
          </cell>
          <cell r="G37">
            <v>215.37721323598913</v>
          </cell>
          <cell r="H37">
            <v>151.65312802623745</v>
          </cell>
          <cell r="I37">
            <v>137.34594476668366</v>
          </cell>
          <cell r="J37">
            <v>28.789491098448707</v>
          </cell>
          <cell r="K37" t="e">
            <v>#VALUE!</v>
          </cell>
          <cell r="L37" t="e">
            <v>#VALUE!</v>
          </cell>
          <cell r="M37" t="e">
            <v>#VALUE!</v>
          </cell>
          <cell r="N37" t="e">
            <v>#VALUE!</v>
          </cell>
          <cell r="O37" t="e">
            <v>#VALUE!</v>
          </cell>
          <cell r="P37" t="e">
            <v>#VALUE!</v>
          </cell>
          <cell r="Q37" t="e">
            <v>#VALUE!</v>
          </cell>
          <cell r="R37" t="e">
            <v>#VALUE!</v>
          </cell>
          <cell r="S37" t="e">
            <v>#VALUE!</v>
          </cell>
          <cell r="T37" t="e">
            <v>#VALUE!</v>
          </cell>
          <cell r="U37" t="e">
            <v>#VALUE!</v>
          </cell>
          <cell r="V37" t="e">
            <v>#VALUE!</v>
          </cell>
          <cell r="W37">
            <v>-92.08987683701902</v>
          </cell>
          <cell r="X37">
            <v>33.517974045915551</v>
          </cell>
          <cell r="Y37">
            <v>213.82183409974255</v>
          </cell>
          <cell r="Z37">
            <v>-66.832224481961745</v>
          </cell>
          <cell r="AA37">
            <v>215.37721323598913</v>
          </cell>
          <cell r="AB37">
            <v>151.65312802623745</v>
          </cell>
          <cell r="AC37">
            <v>136.97649578514637</v>
          </cell>
          <cell r="AD37">
            <v>25.259664946361539</v>
          </cell>
          <cell r="AE37" t="e">
            <v>#VALUE!</v>
          </cell>
          <cell r="AF37" t="e">
            <v>#VALUE!</v>
          </cell>
          <cell r="AG37" t="e">
            <v>#VALUE!</v>
          </cell>
          <cell r="AH37" t="e">
            <v>#VALUE!</v>
          </cell>
          <cell r="AI37" t="e">
            <v>#VALUE!</v>
          </cell>
          <cell r="AJ37" t="e">
            <v>#VALUE!</v>
          </cell>
          <cell r="AK37" t="e">
            <v>#VALUE!</v>
          </cell>
          <cell r="AL37" t="e">
            <v>#VALUE!</v>
          </cell>
          <cell r="AM37" t="e">
            <v>#VALUE!</v>
          </cell>
          <cell r="AN37" t="e">
            <v>#VALUE!</v>
          </cell>
          <cell r="AO37" t="e">
            <v>#VALUE!</v>
          </cell>
          <cell r="AP37" t="e">
            <v>#VALUE!</v>
          </cell>
          <cell r="AQ37">
            <v>-92.08987683701902</v>
          </cell>
          <cell r="AR37">
            <v>33.517974045915551</v>
          </cell>
          <cell r="AS37">
            <v>213.82183409974255</v>
          </cell>
          <cell r="AT37">
            <v>-66.832224481961745</v>
          </cell>
          <cell r="AU37">
            <v>215.37721323598913</v>
          </cell>
          <cell r="AV37">
            <v>151.65312802623745</v>
          </cell>
          <cell r="AW37">
            <v>136.34809355480058</v>
          </cell>
          <cell r="AX37">
            <v>21.684912250521364</v>
          </cell>
          <cell r="AY37" t="e">
            <v>#VALUE!</v>
          </cell>
          <cell r="AZ37" t="e">
            <v>#VALUE!</v>
          </cell>
          <cell r="BA37" t="e">
            <v>#VALUE!</v>
          </cell>
          <cell r="BB37" t="e">
            <v>#VALUE!</v>
          </cell>
          <cell r="BC37" t="e">
            <v>#VALUE!</v>
          </cell>
          <cell r="BD37" t="e">
            <v>#VALUE!</v>
          </cell>
          <cell r="BE37" t="e">
            <v>#VALUE!</v>
          </cell>
          <cell r="BF37" t="e">
            <v>#VALUE!</v>
          </cell>
          <cell r="BG37" t="e">
            <v>#VALUE!</v>
          </cell>
          <cell r="BH37" t="e">
            <v>#VALUE!</v>
          </cell>
          <cell r="BI37" t="e">
            <v>#VALUE!</v>
          </cell>
          <cell r="BJ37" t="e">
            <v>#VALUE!</v>
          </cell>
          <cell r="BK37">
            <v>-92.08987683701902</v>
          </cell>
          <cell r="BL37">
            <v>33.517974045915551</v>
          </cell>
          <cell r="BM37">
            <v>213.82183409974255</v>
          </cell>
          <cell r="BN37">
            <v>-66.832224481961745</v>
          </cell>
          <cell r="BO37">
            <v>215.37721323598913</v>
          </cell>
          <cell r="BP37">
            <v>151.65312802623745</v>
          </cell>
          <cell r="BQ37">
            <v>134.43350746465336</v>
          </cell>
          <cell r="BR37">
            <v>14.957021027853797</v>
          </cell>
          <cell r="BS37" t="e">
            <v>#VALUE!</v>
          </cell>
          <cell r="BT37" t="e">
            <v>#VALUE!</v>
          </cell>
          <cell r="BU37" t="e">
            <v>#VALUE!</v>
          </cell>
          <cell r="BV37" t="e">
            <v>#VALUE!</v>
          </cell>
          <cell r="BW37" t="e">
            <v>#VALUE!</v>
          </cell>
          <cell r="BX37" t="e">
            <v>#VALUE!</v>
          </cell>
          <cell r="BY37" t="e">
            <v>#VALUE!</v>
          </cell>
          <cell r="BZ37" t="e">
            <v>#VALUE!</v>
          </cell>
          <cell r="CA37" t="e">
            <v>#VALUE!</v>
          </cell>
          <cell r="CB37" t="e">
            <v>#VALUE!</v>
          </cell>
          <cell r="CC37" t="e">
            <v>#VALUE!</v>
          </cell>
          <cell r="CD37" t="e">
            <v>#VALUE!</v>
          </cell>
        </row>
        <row r="38">
          <cell r="C38">
            <v>-96.511159795196392</v>
          </cell>
          <cell r="D38">
            <v>17.017521411359208</v>
          </cell>
          <cell r="E38">
            <v>212.08490150902998</v>
          </cell>
          <cell r="F38">
            <v>-73.314545159823169</v>
          </cell>
          <cell r="G38">
            <v>212.85076583131635</v>
          </cell>
          <cell r="H38">
            <v>142.22429794934811</v>
          </cell>
          <cell r="I38">
            <v>135.7127769800916</v>
          </cell>
          <cell r="J38">
            <v>22.694425941602383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>
            <v>-96.511159795196392</v>
          </cell>
          <cell r="X38">
            <v>17.017521411359208</v>
          </cell>
          <cell r="Y38">
            <v>212.08490150902998</v>
          </cell>
          <cell r="Z38">
            <v>-73.314545159823169</v>
          </cell>
          <cell r="AA38">
            <v>212.85076583131635</v>
          </cell>
          <cell r="AB38">
            <v>142.22429794934811</v>
          </cell>
          <cell r="AC38">
            <v>135.34332799855432</v>
          </cell>
          <cell r="AD38">
            <v>19.164599789515215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e">
            <v>#VALUE!</v>
          </cell>
          <cell r="AN38" t="e">
            <v>#VALUE!</v>
          </cell>
          <cell r="AO38" t="e">
            <v>#VALUE!</v>
          </cell>
          <cell r="AP38" t="e">
            <v>#VALUE!</v>
          </cell>
          <cell r="AQ38">
            <v>-96.511159795196392</v>
          </cell>
          <cell r="AR38">
            <v>17.017521411359208</v>
          </cell>
          <cell r="AS38">
            <v>212.08490150902998</v>
          </cell>
          <cell r="AT38">
            <v>-73.314545159823169</v>
          </cell>
          <cell r="AU38">
            <v>212.85076583131635</v>
          </cell>
          <cell r="AV38">
            <v>142.22429794934811</v>
          </cell>
          <cell r="AW38">
            <v>134.71492576820853</v>
          </cell>
          <cell r="AX38">
            <v>15.589847093675044</v>
          </cell>
          <cell r="AY38" t="e">
            <v>#VALUE!</v>
          </cell>
          <cell r="AZ38" t="e">
            <v>#VALUE!</v>
          </cell>
          <cell r="BA38" t="e">
            <v>#VALUE!</v>
          </cell>
          <cell r="BB38" t="e">
            <v>#VALUE!</v>
          </cell>
          <cell r="BC38" t="e">
            <v>#VALUE!</v>
          </cell>
          <cell r="BD38" t="e">
            <v>#VALUE!</v>
          </cell>
          <cell r="BE38" t="e">
            <v>#VALUE!</v>
          </cell>
          <cell r="BF38" t="e">
            <v>#VALUE!</v>
          </cell>
          <cell r="BG38" t="e">
            <v>#VALUE!</v>
          </cell>
          <cell r="BH38" t="e">
            <v>#VALUE!</v>
          </cell>
          <cell r="BI38" t="e">
            <v>#VALUE!</v>
          </cell>
          <cell r="BJ38" t="e">
            <v>#VALUE!</v>
          </cell>
          <cell r="BK38">
            <v>-96.511159795196392</v>
          </cell>
          <cell r="BL38">
            <v>17.017521411359208</v>
          </cell>
          <cell r="BM38">
            <v>212.08490150902998</v>
          </cell>
          <cell r="BN38">
            <v>-73.314545159823169</v>
          </cell>
          <cell r="BO38">
            <v>212.85076583131635</v>
          </cell>
          <cell r="BP38">
            <v>142.22429794934811</v>
          </cell>
          <cell r="BQ38">
            <v>132.80033967806131</v>
          </cell>
          <cell r="BR38">
            <v>8.8619558710074742</v>
          </cell>
          <cell r="BS38" t="e">
            <v>#VALUE!</v>
          </cell>
          <cell r="BT38" t="e">
            <v>#VALUE!</v>
          </cell>
          <cell r="BU38" t="e">
            <v>#VALUE!</v>
          </cell>
          <cell r="BV38" t="e">
            <v>#VALUE!</v>
          </cell>
          <cell r="BW38" t="e">
            <v>#VALUE!</v>
          </cell>
          <cell r="BX38" t="e">
            <v>#VALUE!</v>
          </cell>
          <cell r="BY38" t="e">
            <v>#VALUE!</v>
          </cell>
          <cell r="BZ38" t="e">
            <v>#VALUE!</v>
          </cell>
          <cell r="CA38" t="e">
            <v>#VALUE!</v>
          </cell>
          <cell r="CB38" t="e">
            <v>#VALUE!</v>
          </cell>
          <cell r="CC38" t="e">
            <v>#VALUE!</v>
          </cell>
          <cell r="CD38" t="e">
            <v>#VALUE!</v>
          </cell>
        </row>
        <row r="39">
          <cell r="C39">
            <v>-98</v>
          </cell>
          <cell r="D39">
            <v>1.2006454858104476E-14</v>
          </cell>
          <cell r="E39">
            <v>211.5</v>
          </cell>
          <cell r="F39">
            <v>-80</v>
          </cell>
          <cell r="G39">
            <v>212</v>
          </cell>
          <cell r="H39">
            <v>132.5</v>
          </cell>
          <cell r="I39">
            <v>135.16281763913355</v>
          </cell>
          <cell r="J39">
            <v>16.408361910059494</v>
          </cell>
          <cell r="K39" t="e">
            <v>#VALUE!</v>
          </cell>
          <cell r="L39" t="e">
            <v>#VALUE!</v>
          </cell>
          <cell r="M39" t="e">
            <v>#VALUE!</v>
          </cell>
          <cell r="N39" t="e">
            <v>#VALUE!</v>
          </cell>
          <cell r="O39" t="e">
            <v>#VALUE!</v>
          </cell>
          <cell r="P39" t="e">
            <v>#VALUE!</v>
          </cell>
          <cell r="Q39" t="e">
            <v>#VALUE!</v>
          </cell>
          <cell r="R39" t="e">
            <v>#VALUE!</v>
          </cell>
          <cell r="S39" t="e">
            <v>#VALUE!</v>
          </cell>
          <cell r="T39" t="e">
            <v>#VALUE!</v>
          </cell>
          <cell r="U39" t="e">
            <v>#VALUE!</v>
          </cell>
          <cell r="V39" t="e">
            <v>#VALUE!</v>
          </cell>
          <cell r="W39">
            <v>-98</v>
          </cell>
          <cell r="X39">
            <v>1.2006454858104476E-14</v>
          </cell>
          <cell r="Y39">
            <v>211.5</v>
          </cell>
          <cell r="Z39">
            <v>-80</v>
          </cell>
          <cell r="AA39">
            <v>212</v>
          </cell>
          <cell r="AB39">
            <v>132.5</v>
          </cell>
          <cell r="AC39">
            <v>134.79336865759626</v>
          </cell>
          <cell r="AD39">
            <v>12.878535757972326</v>
          </cell>
          <cell r="AE39" t="e">
            <v>#VALUE!</v>
          </cell>
          <cell r="AF39" t="e">
            <v>#VALUE!</v>
          </cell>
          <cell r="AG39" t="e">
            <v>#VALUE!</v>
          </cell>
          <cell r="AH39" t="e">
            <v>#VALUE!</v>
          </cell>
          <cell r="AI39" t="e">
            <v>#VALUE!</v>
          </cell>
          <cell r="AJ39" t="e">
            <v>#VALUE!</v>
          </cell>
          <cell r="AK39" t="e">
            <v>#VALUE!</v>
          </cell>
          <cell r="AL39" t="e">
            <v>#VALUE!</v>
          </cell>
          <cell r="AM39" t="e">
            <v>#VALUE!</v>
          </cell>
          <cell r="AN39" t="e">
            <v>#VALUE!</v>
          </cell>
          <cell r="AO39" t="e">
            <v>#VALUE!</v>
          </cell>
          <cell r="AP39" t="e">
            <v>#VALUE!</v>
          </cell>
          <cell r="AQ39">
            <v>-98</v>
          </cell>
          <cell r="AR39">
            <v>1.2006454858104476E-14</v>
          </cell>
          <cell r="AS39">
            <v>211.5</v>
          </cell>
          <cell r="AT39">
            <v>-80</v>
          </cell>
          <cell r="AU39">
            <v>212</v>
          </cell>
          <cell r="AV39">
            <v>132.5</v>
          </cell>
          <cell r="AW39">
            <v>134.16496642725048</v>
          </cell>
          <cell r="AX39">
            <v>9.3037830621321547</v>
          </cell>
          <cell r="AY39" t="e">
            <v>#VALUE!</v>
          </cell>
          <cell r="AZ39" t="e">
            <v>#VALUE!</v>
          </cell>
          <cell r="BA39" t="e">
            <v>#VALUE!</v>
          </cell>
          <cell r="BB39" t="e">
            <v>#VALUE!</v>
          </cell>
          <cell r="BC39" t="e">
            <v>#VALUE!</v>
          </cell>
          <cell r="BD39" t="e">
            <v>#VALUE!</v>
          </cell>
          <cell r="BE39" t="e">
            <v>#VALUE!</v>
          </cell>
          <cell r="BF39" t="e">
            <v>#VALUE!</v>
          </cell>
          <cell r="BG39" t="e">
            <v>#VALUE!</v>
          </cell>
          <cell r="BH39" t="e">
            <v>#VALUE!</v>
          </cell>
          <cell r="BI39" t="e">
            <v>#VALUE!</v>
          </cell>
          <cell r="BJ39" t="e">
            <v>#VALUE!</v>
          </cell>
          <cell r="BK39">
            <v>-98</v>
          </cell>
          <cell r="BL39">
            <v>1.2006454858104476E-14</v>
          </cell>
          <cell r="BM39">
            <v>211.5</v>
          </cell>
          <cell r="BN39">
            <v>-80</v>
          </cell>
          <cell r="BO39">
            <v>212</v>
          </cell>
          <cell r="BP39">
            <v>132.5</v>
          </cell>
          <cell r="BQ39">
            <v>132.25038033710325</v>
          </cell>
          <cell r="BR39">
            <v>2.5758918394645862</v>
          </cell>
          <cell r="BS39" t="e">
            <v>#VALUE!</v>
          </cell>
          <cell r="BT39" t="e">
            <v>#VALUE!</v>
          </cell>
          <cell r="BU39" t="e">
            <v>#VALUE!</v>
          </cell>
          <cell r="BV39" t="e">
            <v>#VALUE!</v>
          </cell>
          <cell r="BW39" t="e">
            <v>#VALUE!</v>
          </cell>
          <cell r="BX39" t="e">
            <v>#VALUE!</v>
          </cell>
          <cell r="BY39" t="e">
            <v>#VALUE!</v>
          </cell>
          <cell r="BZ39" t="e">
            <v>#VALUE!</v>
          </cell>
          <cell r="CA39" t="e">
            <v>#VALUE!</v>
          </cell>
          <cell r="CB39" t="e">
            <v>#VALUE!</v>
          </cell>
          <cell r="CC39" t="e">
            <v>#VALUE!</v>
          </cell>
          <cell r="CD39" t="e">
            <v>#VALUE!</v>
          </cell>
        </row>
        <row r="40">
          <cell r="C40">
            <v>-96.511159795196392</v>
          </cell>
          <cell r="D40">
            <v>-17.017521411359187</v>
          </cell>
          <cell r="E40">
            <v>212.08490150902998</v>
          </cell>
          <cell r="F40">
            <v>-86.685454840176817</v>
          </cell>
          <cell r="G40">
            <v>212.85076583131635</v>
          </cell>
          <cell r="H40">
            <v>122.77570205065189</v>
          </cell>
          <cell r="I40">
            <v>135.7127769800916</v>
          </cell>
          <cell r="J40">
            <v>10.122297878516607</v>
          </cell>
          <cell r="K40" t="e">
            <v>#VALUE!</v>
          </cell>
          <cell r="L40" t="e">
            <v>#VALUE!</v>
          </cell>
          <cell r="M40" t="e">
            <v>#VALUE!</v>
          </cell>
          <cell r="N40" t="e">
            <v>#VALUE!</v>
          </cell>
          <cell r="O40" t="e">
            <v>#VALUE!</v>
          </cell>
          <cell r="P40" t="e">
            <v>#VALUE!</v>
          </cell>
          <cell r="Q40" t="e">
            <v>#VALUE!</v>
          </cell>
          <cell r="R40" t="e">
            <v>#VALUE!</v>
          </cell>
          <cell r="S40" t="e">
            <v>#VALUE!</v>
          </cell>
          <cell r="T40" t="e">
            <v>#VALUE!</v>
          </cell>
          <cell r="U40" t="e">
            <v>#VALUE!</v>
          </cell>
          <cell r="V40" t="e">
            <v>#VALUE!</v>
          </cell>
          <cell r="W40">
            <v>-96.511159795196392</v>
          </cell>
          <cell r="X40">
            <v>-17.017521411359187</v>
          </cell>
          <cell r="Y40">
            <v>212.08490150902998</v>
          </cell>
          <cell r="Z40">
            <v>-86.685454840176817</v>
          </cell>
          <cell r="AA40">
            <v>212.85076583131635</v>
          </cell>
          <cell r="AB40">
            <v>122.77570205065189</v>
          </cell>
          <cell r="AC40">
            <v>135.34332799855432</v>
          </cell>
          <cell r="AD40">
            <v>6.592471726429439</v>
          </cell>
          <cell r="AE40" t="e">
            <v>#VALUE!</v>
          </cell>
          <cell r="AF40" t="e">
            <v>#VALUE!</v>
          </cell>
          <cell r="AG40" t="e">
            <v>#VALUE!</v>
          </cell>
          <cell r="AH40" t="e">
            <v>#VALUE!</v>
          </cell>
          <cell r="AI40" t="e">
            <v>#VALUE!</v>
          </cell>
          <cell r="AJ40" t="e">
            <v>#VALUE!</v>
          </cell>
          <cell r="AK40" t="e">
            <v>#VALUE!</v>
          </cell>
          <cell r="AL40" t="e">
            <v>#VALUE!</v>
          </cell>
          <cell r="AM40" t="e">
            <v>#VALUE!</v>
          </cell>
          <cell r="AN40" t="e">
            <v>#VALUE!</v>
          </cell>
          <cell r="AO40" t="e">
            <v>#VALUE!</v>
          </cell>
          <cell r="AP40" t="e">
            <v>#VALUE!</v>
          </cell>
          <cell r="AQ40">
            <v>-96.511159795196392</v>
          </cell>
          <cell r="AR40">
            <v>-17.017521411359187</v>
          </cell>
          <cell r="AS40">
            <v>212.08490150902998</v>
          </cell>
          <cell r="AT40">
            <v>-86.685454840176817</v>
          </cell>
          <cell r="AU40">
            <v>212.85076583131635</v>
          </cell>
          <cell r="AV40">
            <v>122.77570205065189</v>
          </cell>
          <cell r="AW40">
            <v>134.71492576820853</v>
          </cell>
          <cell r="AX40">
            <v>3.0177190305892676</v>
          </cell>
          <cell r="AY40" t="e">
            <v>#VALUE!</v>
          </cell>
          <cell r="AZ40" t="e">
            <v>#VALUE!</v>
          </cell>
          <cell r="BA40" t="e">
            <v>#VALUE!</v>
          </cell>
          <cell r="BB40" t="e">
            <v>#VALUE!</v>
          </cell>
          <cell r="BC40" t="e">
            <v>#VALUE!</v>
          </cell>
          <cell r="BD40" t="e">
            <v>#VALUE!</v>
          </cell>
          <cell r="BE40" t="e">
            <v>#VALUE!</v>
          </cell>
          <cell r="BF40" t="e">
            <v>#VALUE!</v>
          </cell>
          <cell r="BG40" t="e">
            <v>#VALUE!</v>
          </cell>
          <cell r="BH40" t="e">
            <v>#VALUE!</v>
          </cell>
          <cell r="BI40" t="e">
            <v>#VALUE!</v>
          </cell>
          <cell r="BJ40" t="e">
            <v>#VALUE!</v>
          </cell>
          <cell r="BK40">
            <v>-96.511159795196392</v>
          </cell>
          <cell r="BL40">
            <v>-17.017521411359187</v>
          </cell>
          <cell r="BM40">
            <v>212.08490150902998</v>
          </cell>
          <cell r="BN40">
            <v>-86.685454840176817</v>
          </cell>
          <cell r="BO40">
            <v>212.85076583131635</v>
          </cell>
          <cell r="BP40">
            <v>122.77570205065189</v>
          </cell>
          <cell r="BQ40">
            <v>132.80033967806131</v>
          </cell>
          <cell r="BR40">
            <v>-3.7101721920783017</v>
          </cell>
          <cell r="BS40" t="e">
            <v>#VALUE!</v>
          </cell>
          <cell r="BT40" t="e">
            <v>#VALUE!</v>
          </cell>
          <cell r="BU40" t="e">
            <v>#VALUE!</v>
          </cell>
          <cell r="BV40" t="e">
            <v>#VALUE!</v>
          </cell>
          <cell r="BW40" t="e">
            <v>#VALUE!</v>
          </cell>
          <cell r="BX40" t="e">
            <v>#VALUE!</v>
          </cell>
          <cell r="BY40" t="e">
            <v>#VALUE!</v>
          </cell>
          <cell r="BZ40" t="e">
            <v>#VALUE!</v>
          </cell>
          <cell r="CA40" t="e">
            <v>#VALUE!</v>
          </cell>
          <cell r="CB40" t="e">
            <v>#VALUE!</v>
          </cell>
          <cell r="CC40" t="e">
            <v>#VALUE!</v>
          </cell>
          <cell r="CD40" t="e">
            <v>#VALUE!</v>
          </cell>
        </row>
        <row r="41">
          <cell r="C41">
            <v>-92.08987683701902</v>
          </cell>
          <cell r="D41">
            <v>-33.51797404591553</v>
          </cell>
          <cell r="E41">
            <v>213.82183409974252</v>
          </cell>
          <cell r="F41">
            <v>-93.167775518038241</v>
          </cell>
          <cell r="G41">
            <v>215.37721323598913</v>
          </cell>
          <cell r="H41">
            <v>113.34687197376255</v>
          </cell>
          <cell r="I41">
            <v>137.34594476668366</v>
          </cell>
          <cell r="J41">
            <v>4.0272327216702841</v>
          </cell>
          <cell r="K41" t="e">
            <v>#VALUE!</v>
          </cell>
          <cell r="L41" t="e">
            <v>#VALUE!</v>
          </cell>
          <cell r="M41" t="e">
            <v>#VALUE!</v>
          </cell>
          <cell r="N41" t="e">
            <v>#VALUE!</v>
          </cell>
          <cell r="O41" t="e">
            <v>#VALUE!</v>
          </cell>
          <cell r="P41" t="e">
            <v>#VALUE!</v>
          </cell>
          <cell r="Q41" t="e">
            <v>#VALUE!</v>
          </cell>
          <cell r="R41" t="e">
            <v>#VALUE!</v>
          </cell>
          <cell r="S41" t="e">
            <v>#VALUE!</v>
          </cell>
          <cell r="T41" t="e">
            <v>#VALUE!</v>
          </cell>
          <cell r="U41" t="e">
            <v>#VALUE!</v>
          </cell>
          <cell r="V41" t="e">
            <v>#VALUE!</v>
          </cell>
          <cell r="W41">
            <v>-92.08987683701902</v>
          </cell>
          <cell r="X41">
            <v>-33.51797404591553</v>
          </cell>
          <cell r="Y41">
            <v>213.82183409974252</v>
          </cell>
          <cell r="Z41">
            <v>-93.167775518038241</v>
          </cell>
          <cell r="AA41">
            <v>215.37721323598913</v>
          </cell>
          <cell r="AB41">
            <v>113.34687197376255</v>
          </cell>
          <cell r="AC41">
            <v>136.97649578514637</v>
          </cell>
          <cell r="AD41">
            <v>0.49740656958311646</v>
          </cell>
          <cell r="AE41" t="e">
            <v>#VALUE!</v>
          </cell>
          <cell r="AF41" t="e">
            <v>#VALUE!</v>
          </cell>
          <cell r="AG41" t="e">
            <v>#VALUE!</v>
          </cell>
          <cell r="AH41" t="e">
            <v>#VALUE!</v>
          </cell>
          <cell r="AI41" t="e">
            <v>#VALUE!</v>
          </cell>
          <cell r="AJ41" t="e">
            <v>#VALUE!</v>
          </cell>
          <cell r="AK41" t="e">
            <v>#VALUE!</v>
          </cell>
          <cell r="AL41" t="e">
            <v>#VALUE!</v>
          </cell>
          <cell r="AM41" t="e">
            <v>#VALUE!</v>
          </cell>
          <cell r="AN41" t="e">
            <v>#VALUE!</v>
          </cell>
          <cell r="AO41" t="e">
            <v>#VALUE!</v>
          </cell>
          <cell r="AP41" t="e">
            <v>#VALUE!</v>
          </cell>
          <cell r="AQ41">
            <v>-92.08987683701902</v>
          </cell>
          <cell r="AR41">
            <v>-33.51797404591553</v>
          </cell>
          <cell r="AS41">
            <v>213.82183409974252</v>
          </cell>
          <cell r="AT41">
            <v>-93.167775518038241</v>
          </cell>
          <cell r="AU41">
            <v>215.37721323598913</v>
          </cell>
          <cell r="AV41">
            <v>113.34687197376255</v>
          </cell>
          <cell r="AW41">
            <v>136.34809355480058</v>
          </cell>
          <cell r="AX41">
            <v>-3.0773461262570549</v>
          </cell>
          <cell r="AY41" t="e">
            <v>#VALUE!</v>
          </cell>
          <cell r="AZ41" t="e">
            <v>#VALUE!</v>
          </cell>
          <cell r="BA41" t="e">
            <v>#VALUE!</v>
          </cell>
          <cell r="BB41" t="e">
            <v>#VALUE!</v>
          </cell>
          <cell r="BC41" t="e">
            <v>#VALUE!</v>
          </cell>
          <cell r="BD41" t="e">
            <v>#VALUE!</v>
          </cell>
          <cell r="BE41" t="e">
            <v>#VALUE!</v>
          </cell>
          <cell r="BF41" t="e">
            <v>#VALUE!</v>
          </cell>
          <cell r="BG41" t="e">
            <v>#VALUE!</v>
          </cell>
          <cell r="BH41" t="e">
            <v>#VALUE!</v>
          </cell>
          <cell r="BI41" t="e">
            <v>#VALUE!</v>
          </cell>
          <cell r="BJ41" t="e">
            <v>#VALUE!</v>
          </cell>
          <cell r="BK41">
            <v>-92.08987683701902</v>
          </cell>
          <cell r="BL41">
            <v>-33.51797404591553</v>
          </cell>
          <cell r="BM41">
            <v>213.82183409974252</v>
          </cell>
          <cell r="BN41">
            <v>-93.167775518038241</v>
          </cell>
          <cell r="BO41">
            <v>215.37721323598913</v>
          </cell>
          <cell r="BP41">
            <v>113.34687197376255</v>
          </cell>
          <cell r="BQ41">
            <v>134.43350746465336</v>
          </cell>
          <cell r="BR41">
            <v>-9.8052373489246243</v>
          </cell>
          <cell r="BS41" t="e">
            <v>#VALUE!</v>
          </cell>
          <cell r="BT41" t="e">
            <v>#VALUE!</v>
          </cell>
          <cell r="BU41" t="e">
            <v>#VALUE!</v>
          </cell>
          <cell r="BV41" t="e">
            <v>#VALUE!</v>
          </cell>
          <cell r="BW41" t="e">
            <v>#VALUE!</v>
          </cell>
          <cell r="BX41" t="e">
            <v>#VALUE!</v>
          </cell>
          <cell r="BY41" t="e">
            <v>#VALUE!</v>
          </cell>
          <cell r="BZ41" t="e">
            <v>#VALUE!</v>
          </cell>
          <cell r="CA41" t="e">
            <v>#VALUE!</v>
          </cell>
          <cell r="CB41" t="e">
            <v>#VALUE!</v>
          </cell>
          <cell r="CC41" t="e">
            <v>#VALUE!</v>
          </cell>
          <cell r="CD41" t="e">
            <v>#VALUE!</v>
          </cell>
        </row>
        <row r="42">
          <cell r="C42">
            <v>-84.87048957087498</v>
          </cell>
          <cell r="D42">
            <v>-49.000000000000014</v>
          </cell>
          <cell r="E42">
            <v>216.6580219542991</v>
          </cell>
          <cell r="F42">
            <v>-99.25</v>
          </cell>
          <cell r="G42">
            <v>219.50257738807144</v>
          </cell>
          <cell r="H42">
            <v>104.5</v>
          </cell>
          <cell r="I42">
            <v>140.01269802213687</v>
          </cell>
          <cell r="J42">
            <v>-1.6916380899405148</v>
          </cell>
          <cell r="K42" t="e">
            <v>#VALUE!</v>
          </cell>
          <cell r="L42" t="e">
            <v>#VALUE!</v>
          </cell>
          <cell r="M42" t="e">
            <v>#VALUE!</v>
          </cell>
          <cell r="N42" t="e">
            <v>#VALUE!</v>
          </cell>
          <cell r="O42" t="e">
            <v>#VALUE!</v>
          </cell>
          <cell r="P42" t="e">
            <v>#VALUE!</v>
          </cell>
          <cell r="Q42" t="e">
            <v>#VALUE!</v>
          </cell>
          <cell r="R42" t="e">
            <v>#VALUE!</v>
          </cell>
          <cell r="S42" t="e">
            <v>#VALUE!</v>
          </cell>
          <cell r="T42" t="e">
            <v>#VALUE!</v>
          </cell>
          <cell r="U42" t="e">
            <v>#VALUE!</v>
          </cell>
          <cell r="V42" t="e">
            <v>#VALUE!</v>
          </cell>
          <cell r="W42">
            <v>-84.87048957087498</v>
          </cell>
          <cell r="X42">
            <v>-49.000000000000014</v>
          </cell>
          <cell r="Y42">
            <v>216.6580219542991</v>
          </cell>
          <cell r="Z42">
            <v>-99.25</v>
          </cell>
          <cell r="AA42">
            <v>219.50257738807144</v>
          </cell>
          <cell r="AB42">
            <v>104.5</v>
          </cell>
          <cell r="AC42">
            <v>139.64324904059958</v>
          </cell>
          <cell r="AD42">
            <v>-5.2214642420276824</v>
          </cell>
          <cell r="AE42" t="e">
            <v>#VALUE!</v>
          </cell>
          <cell r="AF42" t="e">
            <v>#VALUE!</v>
          </cell>
          <cell r="AG42" t="e">
            <v>#VALUE!</v>
          </cell>
          <cell r="AH42" t="e">
            <v>#VALUE!</v>
          </cell>
          <cell r="AI42" t="e">
            <v>#VALUE!</v>
          </cell>
          <cell r="AJ42" t="e">
            <v>#VALUE!</v>
          </cell>
          <cell r="AK42" t="e">
            <v>#VALUE!</v>
          </cell>
          <cell r="AL42" t="e">
            <v>#VALUE!</v>
          </cell>
          <cell r="AM42" t="e">
            <v>#VALUE!</v>
          </cell>
          <cell r="AN42" t="e">
            <v>#VALUE!</v>
          </cell>
          <cell r="AO42" t="e">
            <v>#VALUE!</v>
          </cell>
          <cell r="AP42" t="e">
            <v>#VALUE!</v>
          </cell>
          <cell r="AQ42">
            <v>-84.87048957087498</v>
          </cell>
          <cell r="AR42">
            <v>-49.000000000000014</v>
          </cell>
          <cell r="AS42">
            <v>216.6580219542991</v>
          </cell>
          <cell r="AT42">
            <v>-99.25</v>
          </cell>
          <cell r="AU42">
            <v>219.50257738807144</v>
          </cell>
          <cell r="AV42">
            <v>104.5</v>
          </cell>
          <cell r="AW42">
            <v>139.0148468102538</v>
          </cell>
          <cell r="AX42">
            <v>-8.7962169378678539</v>
          </cell>
          <cell r="AY42" t="e">
            <v>#VALUE!</v>
          </cell>
          <cell r="AZ42" t="e">
            <v>#VALUE!</v>
          </cell>
          <cell r="BA42" t="e">
            <v>#VALUE!</v>
          </cell>
          <cell r="BB42" t="e">
            <v>#VALUE!</v>
          </cell>
          <cell r="BC42" t="e">
            <v>#VALUE!</v>
          </cell>
          <cell r="BD42" t="e">
            <v>#VALUE!</v>
          </cell>
          <cell r="BE42" t="e">
            <v>#VALUE!</v>
          </cell>
          <cell r="BF42" t="e">
            <v>#VALUE!</v>
          </cell>
          <cell r="BG42" t="e">
            <v>#VALUE!</v>
          </cell>
          <cell r="BH42" t="e">
            <v>#VALUE!</v>
          </cell>
          <cell r="BI42" t="e">
            <v>#VALUE!</v>
          </cell>
          <cell r="BJ42" t="e">
            <v>#VALUE!</v>
          </cell>
          <cell r="BK42">
            <v>-84.87048957087498</v>
          </cell>
          <cell r="BL42">
            <v>-49.000000000000014</v>
          </cell>
          <cell r="BM42">
            <v>216.6580219542991</v>
          </cell>
          <cell r="BN42">
            <v>-99.25</v>
          </cell>
          <cell r="BO42">
            <v>219.50257738807144</v>
          </cell>
          <cell r="BP42">
            <v>104.5</v>
          </cell>
          <cell r="BQ42">
            <v>137.10026072010658</v>
          </cell>
          <cell r="BR42">
            <v>-15.524108160535423</v>
          </cell>
          <cell r="BS42" t="e">
            <v>#VALUE!</v>
          </cell>
          <cell r="BT42" t="e">
            <v>#VALUE!</v>
          </cell>
          <cell r="BU42" t="e">
            <v>#VALUE!</v>
          </cell>
          <cell r="BV42" t="e">
            <v>#VALUE!</v>
          </cell>
          <cell r="BW42" t="e">
            <v>#VALUE!</v>
          </cell>
          <cell r="BX42" t="e">
            <v>#VALUE!</v>
          </cell>
          <cell r="BY42" t="e">
            <v>#VALUE!</v>
          </cell>
          <cell r="BZ42" t="e">
            <v>#VALUE!</v>
          </cell>
          <cell r="CA42" t="e">
            <v>#VALUE!</v>
          </cell>
          <cell r="CB42" t="e">
            <v>#VALUE!</v>
          </cell>
          <cell r="CC42" t="e">
            <v>#VALUE!</v>
          </cell>
          <cell r="CD42" t="e">
            <v>#VALUE!</v>
          </cell>
        </row>
        <row r="43">
          <cell r="C43">
            <v>-75.07235542565985</v>
          </cell>
          <cell r="D43">
            <v>-62.993185749280848</v>
          </cell>
          <cell r="E43">
            <v>220.50728893991933</v>
          </cell>
          <cell r="F43">
            <v>-104.74732297293176</v>
          </cell>
          <cell r="G43">
            <v>225.10151118533724</v>
          </cell>
          <cell r="H43">
            <v>96.503893857553805</v>
          </cell>
          <cell r="I43">
            <v>143.63200879822654</v>
          </cell>
          <cell r="J43">
            <v>-6.8605495605932312</v>
          </cell>
          <cell r="K43" t="e">
            <v>#VALUE!</v>
          </cell>
          <cell r="L43" t="e">
            <v>#VALUE!</v>
          </cell>
          <cell r="M43" t="e">
            <v>#VALUE!</v>
          </cell>
          <cell r="N43" t="e">
            <v>#VALUE!</v>
          </cell>
          <cell r="O43" t="e">
            <v>#VALUE!</v>
          </cell>
          <cell r="P43" t="e">
            <v>#VALUE!</v>
          </cell>
          <cell r="Q43" t="e">
            <v>#VALUE!</v>
          </cell>
          <cell r="R43" t="e">
            <v>#VALUE!</v>
          </cell>
          <cell r="S43" t="e">
            <v>#VALUE!</v>
          </cell>
          <cell r="T43" t="e">
            <v>#VALUE!</v>
          </cell>
          <cell r="U43" t="e">
            <v>#VALUE!</v>
          </cell>
          <cell r="V43" t="e">
            <v>#VALUE!</v>
          </cell>
          <cell r="W43">
            <v>-75.07235542565985</v>
          </cell>
          <cell r="X43">
            <v>-62.993185749280848</v>
          </cell>
          <cell r="Y43">
            <v>220.50728893991933</v>
          </cell>
          <cell r="Z43">
            <v>-104.74732297293176</v>
          </cell>
          <cell r="AA43">
            <v>225.10151118533724</v>
          </cell>
          <cell r="AB43">
            <v>96.503893857553805</v>
          </cell>
          <cell r="AC43">
            <v>143.26255981668925</v>
          </cell>
          <cell r="AD43">
            <v>-10.390375712680399</v>
          </cell>
          <cell r="AE43" t="e">
            <v>#VALUE!</v>
          </cell>
          <cell r="AF43" t="e">
            <v>#VALUE!</v>
          </cell>
          <cell r="AG43" t="e">
            <v>#VALUE!</v>
          </cell>
          <cell r="AH43" t="e">
            <v>#VALUE!</v>
          </cell>
          <cell r="AI43" t="e">
            <v>#VALUE!</v>
          </cell>
          <cell r="AJ43" t="e">
            <v>#VALUE!</v>
          </cell>
          <cell r="AK43" t="e">
            <v>#VALUE!</v>
          </cell>
          <cell r="AL43" t="e">
            <v>#VALUE!</v>
          </cell>
          <cell r="AM43" t="e">
            <v>#VALUE!</v>
          </cell>
          <cell r="AN43" t="e">
            <v>#VALUE!</v>
          </cell>
          <cell r="AO43" t="e">
            <v>#VALUE!</v>
          </cell>
          <cell r="AP43" t="e">
            <v>#VALUE!</v>
          </cell>
          <cell r="AQ43">
            <v>-75.07235542565985</v>
          </cell>
          <cell r="AR43">
            <v>-62.993185749280848</v>
          </cell>
          <cell r="AS43">
            <v>220.50728893991933</v>
          </cell>
          <cell r="AT43">
            <v>-104.74732297293176</v>
          </cell>
          <cell r="AU43">
            <v>225.10151118533724</v>
          </cell>
          <cell r="AV43">
            <v>96.503893857553805</v>
          </cell>
          <cell r="AW43">
            <v>142.63415758634346</v>
          </cell>
          <cell r="AX43">
            <v>-13.96512840852057</v>
          </cell>
          <cell r="AY43" t="e">
            <v>#VALUE!</v>
          </cell>
          <cell r="AZ43" t="e">
            <v>#VALUE!</v>
          </cell>
          <cell r="BA43" t="e">
            <v>#VALUE!</v>
          </cell>
          <cell r="BB43" t="e">
            <v>#VALUE!</v>
          </cell>
          <cell r="BC43" t="e">
            <v>#VALUE!</v>
          </cell>
          <cell r="BD43" t="e">
            <v>#VALUE!</v>
          </cell>
          <cell r="BE43" t="e">
            <v>#VALUE!</v>
          </cell>
          <cell r="BF43" t="e">
            <v>#VALUE!</v>
          </cell>
          <cell r="BG43" t="e">
            <v>#VALUE!</v>
          </cell>
          <cell r="BH43" t="e">
            <v>#VALUE!</v>
          </cell>
          <cell r="BI43" t="e">
            <v>#VALUE!</v>
          </cell>
          <cell r="BJ43" t="e">
            <v>#VALUE!</v>
          </cell>
          <cell r="BK43">
            <v>-75.07235542565985</v>
          </cell>
          <cell r="BL43">
            <v>-62.993185749280848</v>
          </cell>
          <cell r="BM43">
            <v>220.50728893991933</v>
          </cell>
          <cell r="BN43">
            <v>-104.74732297293176</v>
          </cell>
          <cell r="BO43">
            <v>225.10151118533724</v>
          </cell>
          <cell r="BP43">
            <v>96.503893857553805</v>
          </cell>
          <cell r="BQ43">
            <v>140.71957149619624</v>
          </cell>
          <cell r="BR43">
            <v>-20.69301963118814</v>
          </cell>
          <cell r="BS43" t="e">
            <v>#VALUE!</v>
          </cell>
          <cell r="BT43" t="e">
            <v>#VALUE!</v>
          </cell>
          <cell r="BU43" t="e">
            <v>#VALUE!</v>
          </cell>
          <cell r="BV43" t="e">
            <v>#VALUE!</v>
          </cell>
          <cell r="BW43" t="e">
            <v>#VALUE!</v>
          </cell>
          <cell r="BX43" t="e">
            <v>#VALUE!</v>
          </cell>
          <cell r="BY43" t="e">
            <v>#VALUE!</v>
          </cell>
          <cell r="BZ43" t="e">
            <v>#VALUE!</v>
          </cell>
          <cell r="CA43" t="e">
            <v>#VALUE!</v>
          </cell>
          <cell r="CB43" t="e">
            <v>#VALUE!</v>
          </cell>
          <cell r="CC43" t="e">
            <v>#VALUE!</v>
          </cell>
          <cell r="CD43" t="e">
            <v>#VALUE!</v>
          </cell>
        </row>
        <row r="44">
          <cell r="C44">
            <v>-62.993185749280869</v>
          </cell>
          <cell r="D44">
            <v>-75.072355425659836</v>
          </cell>
          <cell r="E44">
            <v>225.25267702706822</v>
          </cell>
          <cell r="F44">
            <v>-109.49271106008065</v>
          </cell>
          <cell r="G44">
            <v>232.00389385755381</v>
          </cell>
          <cell r="H44">
            <v>89.601511185337245</v>
          </cell>
          <cell r="I44">
            <v>148.0939061684808</v>
          </cell>
          <cell r="J44">
            <v>-11.322446930847512</v>
          </cell>
          <cell r="K44" t="e">
            <v>#VALUE!</v>
          </cell>
          <cell r="L44" t="e">
            <v>#VALUE!</v>
          </cell>
          <cell r="M44" t="e">
            <v>#VALUE!</v>
          </cell>
          <cell r="N44" t="e">
            <v>#VALUE!</v>
          </cell>
          <cell r="O44" t="e">
            <v>#VALUE!</v>
          </cell>
          <cell r="P44" t="e">
            <v>#VALUE!</v>
          </cell>
          <cell r="Q44" t="e">
            <v>#VALUE!</v>
          </cell>
          <cell r="R44" t="e">
            <v>#VALUE!</v>
          </cell>
          <cell r="S44" t="e">
            <v>#VALUE!</v>
          </cell>
          <cell r="T44" t="e">
            <v>#VALUE!</v>
          </cell>
          <cell r="U44" t="e">
            <v>#VALUE!</v>
          </cell>
          <cell r="V44" t="e">
            <v>#VALUE!</v>
          </cell>
          <cell r="W44">
            <v>-62.993185749280869</v>
          </cell>
          <cell r="X44">
            <v>-75.072355425659836</v>
          </cell>
          <cell r="Y44">
            <v>225.25267702706822</v>
          </cell>
          <cell r="Z44">
            <v>-109.49271106008065</v>
          </cell>
          <cell r="AA44">
            <v>232.00389385755381</v>
          </cell>
          <cell r="AB44">
            <v>89.601511185337245</v>
          </cell>
          <cell r="AC44">
            <v>147.72445718694351</v>
          </cell>
          <cell r="AD44">
            <v>-14.85227308293468</v>
          </cell>
          <cell r="AE44" t="e">
            <v>#VALUE!</v>
          </cell>
          <cell r="AF44" t="e">
            <v>#VALUE!</v>
          </cell>
          <cell r="AG44" t="e">
            <v>#VALUE!</v>
          </cell>
          <cell r="AH44" t="e">
            <v>#VALUE!</v>
          </cell>
          <cell r="AI44" t="e">
            <v>#VALUE!</v>
          </cell>
          <cell r="AJ44" t="e">
            <v>#VALUE!</v>
          </cell>
          <cell r="AK44" t="e">
            <v>#VALUE!</v>
          </cell>
          <cell r="AL44" t="e">
            <v>#VALUE!</v>
          </cell>
          <cell r="AM44" t="e">
            <v>#VALUE!</v>
          </cell>
          <cell r="AN44" t="e">
            <v>#VALUE!</v>
          </cell>
          <cell r="AO44" t="e">
            <v>#VALUE!</v>
          </cell>
          <cell r="AP44" t="e">
            <v>#VALUE!</v>
          </cell>
          <cell r="AQ44">
            <v>-62.993185749280869</v>
          </cell>
          <cell r="AR44">
            <v>-75.072355425659836</v>
          </cell>
          <cell r="AS44">
            <v>225.25267702706822</v>
          </cell>
          <cell r="AT44">
            <v>-109.49271106008065</v>
          </cell>
          <cell r="AU44">
            <v>232.00389385755381</v>
          </cell>
          <cell r="AV44">
            <v>89.601511185337245</v>
          </cell>
          <cell r="AW44">
            <v>147.09605495659773</v>
          </cell>
          <cell r="AX44">
            <v>-18.427025778774851</v>
          </cell>
          <cell r="AY44" t="e">
            <v>#VALUE!</v>
          </cell>
          <cell r="AZ44" t="e">
            <v>#VALUE!</v>
          </cell>
          <cell r="BA44" t="e">
            <v>#VALUE!</v>
          </cell>
          <cell r="BB44" t="e">
            <v>#VALUE!</v>
          </cell>
          <cell r="BC44" t="e">
            <v>#VALUE!</v>
          </cell>
          <cell r="BD44" t="e">
            <v>#VALUE!</v>
          </cell>
          <cell r="BE44" t="e">
            <v>#VALUE!</v>
          </cell>
          <cell r="BF44" t="e">
            <v>#VALUE!</v>
          </cell>
          <cell r="BG44" t="e">
            <v>#VALUE!</v>
          </cell>
          <cell r="BH44" t="e">
            <v>#VALUE!</v>
          </cell>
          <cell r="BI44" t="e">
            <v>#VALUE!</v>
          </cell>
          <cell r="BJ44" t="e">
            <v>#VALUE!</v>
          </cell>
          <cell r="BK44">
            <v>-62.993185749280869</v>
          </cell>
          <cell r="BL44">
            <v>-75.072355425659836</v>
          </cell>
          <cell r="BM44">
            <v>225.25267702706822</v>
          </cell>
          <cell r="BN44">
            <v>-109.49271106008065</v>
          </cell>
          <cell r="BO44">
            <v>232.00389385755381</v>
          </cell>
          <cell r="BP44">
            <v>89.601511185337245</v>
          </cell>
          <cell r="BQ44">
            <v>145.1814688664505</v>
          </cell>
          <cell r="BR44">
            <v>-25.154917001442421</v>
          </cell>
          <cell r="BS44" t="e">
            <v>#VALUE!</v>
          </cell>
          <cell r="BT44" t="e">
            <v>#VALUE!</v>
          </cell>
          <cell r="BU44" t="e">
            <v>#VALUE!</v>
          </cell>
          <cell r="BV44" t="e">
            <v>#VALUE!</v>
          </cell>
          <cell r="BW44" t="e">
            <v>#VALUE!</v>
          </cell>
          <cell r="BX44" t="e">
            <v>#VALUE!</v>
          </cell>
          <cell r="BY44" t="e">
            <v>#VALUE!</v>
          </cell>
          <cell r="BZ44" t="e">
            <v>#VALUE!</v>
          </cell>
          <cell r="CA44" t="e">
            <v>#VALUE!</v>
          </cell>
          <cell r="CB44" t="e">
            <v>#VALUE!</v>
          </cell>
          <cell r="CC44" t="e">
            <v>#VALUE!</v>
          </cell>
          <cell r="CD44" t="e">
            <v>#VALUE!</v>
          </cell>
        </row>
        <row r="45">
          <cell r="C45">
            <v>-49.000000000000043</v>
          </cell>
          <cell r="D45">
            <v>-84.870489570874966</v>
          </cell>
          <cell r="E45">
            <v>230.74999999999997</v>
          </cell>
          <cell r="F45">
            <v>-113.34197804570087</v>
          </cell>
          <cell r="G45">
            <v>239.99999999999997</v>
          </cell>
          <cell r="H45">
            <v>84.002577388071444</v>
          </cell>
          <cell r="I45">
            <v>153.26281763913352</v>
          </cell>
          <cell r="J45">
            <v>-14.941757706937182</v>
          </cell>
          <cell r="K45" t="e">
            <v>#VALUE!</v>
          </cell>
          <cell r="L45" t="e">
            <v>#VALUE!</v>
          </cell>
          <cell r="M45" t="e">
            <v>#VALUE!</v>
          </cell>
          <cell r="N45" t="e">
            <v>#VALUE!</v>
          </cell>
          <cell r="O45" t="e">
            <v>#VALUE!</v>
          </cell>
          <cell r="P45" t="e">
            <v>#VALUE!</v>
          </cell>
          <cell r="Q45" t="e">
            <v>#VALUE!</v>
          </cell>
          <cell r="R45" t="e">
            <v>#VALUE!</v>
          </cell>
          <cell r="S45" t="e">
            <v>#VALUE!</v>
          </cell>
          <cell r="T45" t="e">
            <v>#VALUE!</v>
          </cell>
          <cell r="U45" t="e">
            <v>#VALUE!</v>
          </cell>
          <cell r="V45" t="e">
            <v>#VALUE!</v>
          </cell>
          <cell r="W45">
            <v>-49.000000000000043</v>
          </cell>
          <cell r="X45">
            <v>-84.870489570874966</v>
          </cell>
          <cell r="Y45">
            <v>230.74999999999997</v>
          </cell>
          <cell r="Z45">
            <v>-113.34197804570087</v>
          </cell>
          <cell r="AA45">
            <v>239.99999999999997</v>
          </cell>
          <cell r="AB45">
            <v>84.002577388071444</v>
          </cell>
          <cell r="AC45">
            <v>152.89336865759623</v>
          </cell>
          <cell r="AD45">
            <v>-18.471583859024349</v>
          </cell>
          <cell r="AE45" t="e">
            <v>#VALUE!</v>
          </cell>
          <cell r="AF45" t="e">
            <v>#VALUE!</v>
          </cell>
          <cell r="AG45" t="e">
            <v>#VALUE!</v>
          </cell>
          <cell r="AH45" t="e">
            <v>#VALUE!</v>
          </cell>
          <cell r="AI45" t="e">
            <v>#VALUE!</v>
          </cell>
          <cell r="AJ45" t="e">
            <v>#VALUE!</v>
          </cell>
          <cell r="AK45" t="e">
            <v>#VALUE!</v>
          </cell>
          <cell r="AL45" t="e">
            <v>#VALUE!</v>
          </cell>
          <cell r="AM45" t="e">
            <v>#VALUE!</v>
          </cell>
          <cell r="AN45" t="e">
            <v>#VALUE!</v>
          </cell>
          <cell r="AO45" t="e">
            <v>#VALUE!</v>
          </cell>
          <cell r="AP45" t="e">
            <v>#VALUE!</v>
          </cell>
          <cell r="AQ45">
            <v>-49.000000000000043</v>
          </cell>
          <cell r="AR45">
            <v>-84.870489570874966</v>
          </cell>
          <cell r="AS45">
            <v>230.74999999999997</v>
          </cell>
          <cell r="AT45">
            <v>-113.34197804570087</v>
          </cell>
          <cell r="AU45">
            <v>239.99999999999997</v>
          </cell>
          <cell r="AV45">
            <v>84.002577388071444</v>
          </cell>
          <cell r="AW45">
            <v>152.26496642725044</v>
          </cell>
          <cell r="AX45">
            <v>-22.046336554864521</v>
          </cell>
          <cell r="AY45" t="e">
            <v>#VALUE!</v>
          </cell>
          <cell r="AZ45" t="e">
            <v>#VALUE!</v>
          </cell>
          <cell r="BA45" t="e">
            <v>#VALUE!</v>
          </cell>
          <cell r="BB45" t="e">
            <v>#VALUE!</v>
          </cell>
          <cell r="BC45" t="e">
            <v>#VALUE!</v>
          </cell>
          <cell r="BD45" t="e">
            <v>#VALUE!</v>
          </cell>
          <cell r="BE45" t="e">
            <v>#VALUE!</v>
          </cell>
          <cell r="BF45" t="e">
            <v>#VALUE!</v>
          </cell>
          <cell r="BG45" t="e">
            <v>#VALUE!</v>
          </cell>
          <cell r="BH45" t="e">
            <v>#VALUE!</v>
          </cell>
          <cell r="BI45" t="e">
            <v>#VALUE!</v>
          </cell>
          <cell r="BJ45" t="e">
            <v>#VALUE!</v>
          </cell>
          <cell r="BK45">
            <v>-49.000000000000043</v>
          </cell>
          <cell r="BL45">
            <v>-84.870489570874966</v>
          </cell>
          <cell r="BM45">
            <v>230.74999999999997</v>
          </cell>
          <cell r="BN45">
            <v>-113.34197804570087</v>
          </cell>
          <cell r="BO45">
            <v>239.99999999999997</v>
          </cell>
          <cell r="BP45">
            <v>84.002577388071444</v>
          </cell>
          <cell r="BQ45">
            <v>150.35038033710322</v>
          </cell>
          <cell r="BR45">
            <v>-28.77422777753209</v>
          </cell>
          <cell r="BS45" t="e">
            <v>#VALUE!</v>
          </cell>
          <cell r="BT45" t="e">
            <v>#VALUE!</v>
          </cell>
          <cell r="BU45" t="e">
            <v>#VALUE!</v>
          </cell>
          <cell r="BV45" t="e">
            <v>#VALUE!</v>
          </cell>
          <cell r="BW45" t="e">
            <v>#VALUE!</v>
          </cell>
          <cell r="BX45" t="e">
            <v>#VALUE!</v>
          </cell>
          <cell r="BY45" t="e">
            <v>#VALUE!</v>
          </cell>
          <cell r="BZ45" t="e">
            <v>#VALUE!</v>
          </cell>
          <cell r="CA45" t="e">
            <v>#VALUE!</v>
          </cell>
          <cell r="CB45" t="e">
            <v>#VALUE!</v>
          </cell>
          <cell r="CC45" t="e">
            <v>#VALUE!</v>
          </cell>
          <cell r="CD45" t="e">
            <v>#VALUE!</v>
          </cell>
        </row>
        <row r="46">
          <cell r="C46">
            <v>-33.517974045915601</v>
          </cell>
          <cell r="D46">
            <v>-92.089876837019006</v>
          </cell>
          <cell r="E46">
            <v>236.83222448196173</v>
          </cell>
          <cell r="F46">
            <v>-116.17816590025747</v>
          </cell>
          <cell r="G46">
            <v>248.84687197376252</v>
          </cell>
          <cell r="H46">
            <v>79.877213235989132</v>
          </cell>
          <cell r="I46">
            <v>158.98168845074431</v>
          </cell>
          <cell r="J46">
            <v>-17.60851096239039</v>
          </cell>
          <cell r="K46" t="e">
            <v>#VALUE!</v>
          </cell>
          <cell r="L46" t="e">
            <v>#VALUE!</v>
          </cell>
          <cell r="M46" t="e">
            <v>#VALUE!</v>
          </cell>
          <cell r="N46" t="e">
            <v>#VALUE!</v>
          </cell>
          <cell r="O46" t="e">
            <v>#VALUE!</v>
          </cell>
          <cell r="P46" t="e">
            <v>#VALUE!</v>
          </cell>
          <cell r="Q46" t="e">
            <v>#VALUE!</v>
          </cell>
          <cell r="R46" t="e">
            <v>#VALUE!</v>
          </cell>
          <cell r="S46" t="e">
            <v>#VALUE!</v>
          </cell>
          <cell r="T46" t="e">
            <v>#VALUE!</v>
          </cell>
          <cell r="U46" t="e">
            <v>#VALUE!</v>
          </cell>
          <cell r="V46" t="e">
            <v>#VALUE!</v>
          </cell>
          <cell r="W46">
            <v>-33.517974045915601</v>
          </cell>
          <cell r="X46">
            <v>-92.089876837019006</v>
          </cell>
          <cell r="Y46">
            <v>236.83222448196173</v>
          </cell>
          <cell r="Z46">
            <v>-116.17816590025747</v>
          </cell>
          <cell r="AA46">
            <v>248.84687197376252</v>
          </cell>
          <cell r="AB46">
            <v>79.877213235989132</v>
          </cell>
          <cell r="AC46">
            <v>158.61223946920703</v>
          </cell>
          <cell r="AD46">
            <v>-21.138337114477558</v>
          </cell>
          <cell r="AE46" t="e">
            <v>#VALUE!</v>
          </cell>
          <cell r="AF46" t="e">
            <v>#VALUE!</v>
          </cell>
          <cell r="AG46" t="e">
            <v>#VALUE!</v>
          </cell>
          <cell r="AH46" t="e">
            <v>#VALUE!</v>
          </cell>
          <cell r="AI46" t="e">
            <v>#VALUE!</v>
          </cell>
          <cell r="AJ46" t="e">
            <v>#VALUE!</v>
          </cell>
          <cell r="AK46" t="e">
            <v>#VALUE!</v>
          </cell>
          <cell r="AL46" t="e">
            <v>#VALUE!</v>
          </cell>
          <cell r="AM46" t="e">
            <v>#VALUE!</v>
          </cell>
          <cell r="AN46" t="e">
            <v>#VALUE!</v>
          </cell>
          <cell r="AO46" t="e">
            <v>#VALUE!</v>
          </cell>
          <cell r="AP46" t="e">
            <v>#VALUE!</v>
          </cell>
          <cell r="AQ46">
            <v>-33.517974045915601</v>
          </cell>
          <cell r="AR46">
            <v>-92.089876837019006</v>
          </cell>
          <cell r="AS46">
            <v>236.83222448196173</v>
          </cell>
          <cell r="AT46">
            <v>-116.17816590025747</v>
          </cell>
          <cell r="AU46">
            <v>248.84687197376252</v>
          </cell>
          <cell r="AV46">
            <v>79.877213235989132</v>
          </cell>
          <cell r="AW46">
            <v>157.98383723886124</v>
          </cell>
          <cell r="AX46">
            <v>-24.713089810317729</v>
          </cell>
          <cell r="AY46" t="e">
            <v>#VALUE!</v>
          </cell>
          <cell r="AZ46" t="e">
            <v>#VALUE!</v>
          </cell>
          <cell r="BA46" t="e">
            <v>#VALUE!</v>
          </cell>
          <cell r="BB46" t="e">
            <v>#VALUE!</v>
          </cell>
          <cell r="BC46" t="e">
            <v>#VALUE!</v>
          </cell>
          <cell r="BD46" t="e">
            <v>#VALUE!</v>
          </cell>
          <cell r="BE46" t="e">
            <v>#VALUE!</v>
          </cell>
          <cell r="BF46" t="e">
            <v>#VALUE!</v>
          </cell>
          <cell r="BG46" t="e">
            <v>#VALUE!</v>
          </cell>
          <cell r="BH46" t="e">
            <v>#VALUE!</v>
          </cell>
          <cell r="BI46" t="e">
            <v>#VALUE!</v>
          </cell>
          <cell r="BJ46" t="e">
            <v>#VALUE!</v>
          </cell>
          <cell r="BK46">
            <v>-33.517974045915601</v>
          </cell>
          <cell r="BL46">
            <v>-92.089876837019006</v>
          </cell>
          <cell r="BM46">
            <v>236.83222448196173</v>
          </cell>
          <cell r="BN46">
            <v>-116.17816590025747</v>
          </cell>
          <cell r="BO46">
            <v>248.84687197376252</v>
          </cell>
          <cell r="BP46">
            <v>79.877213235989132</v>
          </cell>
          <cell r="BQ46">
            <v>156.06925114871402</v>
          </cell>
          <cell r="BR46">
            <v>-31.440981032985299</v>
          </cell>
          <cell r="BS46" t="e">
            <v>#VALUE!</v>
          </cell>
          <cell r="BT46" t="e">
            <v>#VALUE!</v>
          </cell>
          <cell r="BU46" t="e">
            <v>#VALUE!</v>
          </cell>
          <cell r="BV46" t="e">
            <v>#VALUE!</v>
          </cell>
          <cell r="BW46" t="e">
            <v>#VALUE!</v>
          </cell>
          <cell r="BX46" t="e">
            <v>#VALUE!</v>
          </cell>
          <cell r="BY46" t="e">
            <v>#VALUE!</v>
          </cell>
          <cell r="BZ46" t="e">
            <v>#VALUE!</v>
          </cell>
          <cell r="CA46" t="e">
            <v>#VALUE!</v>
          </cell>
          <cell r="CB46" t="e">
            <v>#VALUE!</v>
          </cell>
          <cell r="CC46" t="e">
            <v>#VALUE!</v>
          </cell>
          <cell r="CD46" t="e">
            <v>#VALUE!</v>
          </cell>
        </row>
        <row r="47">
          <cell r="C47">
            <v>-17.017521411359173</v>
          </cell>
          <cell r="D47">
            <v>-96.511159795196392</v>
          </cell>
          <cell r="E47">
            <v>243.31454515982318</v>
          </cell>
          <cell r="F47">
            <v>-117.91509849097001</v>
          </cell>
          <cell r="G47">
            <v>258.27570205065189</v>
          </cell>
          <cell r="H47">
            <v>77.350765831316352</v>
          </cell>
          <cell r="I47">
            <v>165.07675360759066</v>
          </cell>
          <cell r="J47">
            <v>-19.241678748982444</v>
          </cell>
          <cell r="K47" t="e">
            <v>#VALUE!</v>
          </cell>
          <cell r="L47" t="e">
            <v>#VALUE!</v>
          </cell>
          <cell r="M47" t="e">
            <v>#VALUE!</v>
          </cell>
          <cell r="N47" t="e">
            <v>#VALUE!</v>
          </cell>
          <cell r="O47" t="e">
            <v>#VALUE!</v>
          </cell>
          <cell r="P47" t="e">
            <v>#VALUE!</v>
          </cell>
          <cell r="Q47" t="e">
            <v>#VALUE!</v>
          </cell>
          <cell r="R47" t="e">
            <v>#VALUE!</v>
          </cell>
          <cell r="S47" t="e">
            <v>#VALUE!</v>
          </cell>
          <cell r="T47" t="e">
            <v>#VALUE!</v>
          </cell>
          <cell r="U47" t="e">
            <v>#VALUE!</v>
          </cell>
          <cell r="V47" t="e">
            <v>#VALUE!</v>
          </cell>
          <cell r="W47">
            <v>-17.017521411359173</v>
          </cell>
          <cell r="X47">
            <v>-96.511159795196392</v>
          </cell>
          <cell r="Y47">
            <v>243.31454515982318</v>
          </cell>
          <cell r="Z47">
            <v>-117.91509849097001</v>
          </cell>
          <cell r="AA47">
            <v>258.27570205065189</v>
          </cell>
          <cell r="AB47">
            <v>77.350765831316352</v>
          </cell>
          <cell r="AC47">
            <v>164.70730462605337</v>
          </cell>
          <cell r="AD47">
            <v>-22.771504901069612</v>
          </cell>
          <cell r="AE47" t="e">
            <v>#VALUE!</v>
          </cell>
          <cell r="AF47" t="e">
            <v>#VALUE!</v>
          </cell>
          <cell r="AG47" t="e">
            <v>#VALUE!</v>
          </cell>
          <cell r="AH47" t="e">
            <v>#VALUE!</v>
          </cell>
          <cell r="AI47" t="e">
            <v>#VALUE!</v>
          </cell>
          <cell r="AJ47" t="e">
            <v>#VALUE!</v>
          </cell>
          <cell r="AK47" t="e">
            <v>#VALUE!</v>
          </cell>
          <cell r="AL47" t="e">
            <v>#VALUE!</v>
          </cell>
          <cell r="AM47" t="e">
            <v>#VALUE!</v>
          </cell>
          <cell r="AN47" t="e">
            <v>#VALUE!</v>
          </cell>
          <cell r="AO47" t="e">
            <v>#VALUE!</v>
          </cell>
          <cell r="AP47" t="e">
            <v>#VALUE!</v>
          </cell>
          <cell r="AQ47">
            <v>-17.017521411359173</v>
          </cell>
          <cell r="AR47">
            <v>-96.511159795196392</v>
          </cell>
          <cell r="AS47">
            <v>243.31454515982318</v>
          </cell>
          <cell r="AT47">
            <v>-117.91509849097001</v>
          </cell>
          <cell r="AU47">
            <v>258.27570205065189</v>
          </cell>
          <cell r="AV47">
            <v>77.350765831316352</v>
          </cell>
          <cell r="AW47">
            <v>164.07890239570759</v>
          </cell>
          <cell r="AX47">
            <v>-26.346257596909783</v>
          </cell>
          <cell r="AY47" t="e">
            <v>#VALUE!</v>
          </cell>
          <cell r="AZ47" t="e">
            <v>#VALUE!</v>
          </cell>
          <cell r="BA47" t="e">
            <v>#VALUE!</v>
          </cell>
          <cell r="BB47" t="e">
            <v>#VALUE!</v>
          </cell>
          <cell r="BC47" t="e">
            <v>#VALUE!</v>
          </cell>
          <cell r="BD47" t="e">
            <v>#VALUE!</v>
          </cell>
          <cell r="BE47" t="e">
            <v>#VALUE!</v>
          </cell>
          <cell r="BF47" t="e">
            <v>#VALUE!</v>
          </cell>
          <cell r="BG47" t="e">
            <v>#VALUE!</v>
          </cell>
          <cell r="BH47" t="e">
            <v>#VALUE!</v>
          </cell>
          <cell r="BI47" t="e">
            <v>#VALUE!</v>
          </cell>
          <cell r="BJ47" t="e">
            <v>#VALUE!</v>
          </cell>
          <cell r="BK47">
            <v>-17.017521411359173</v>
          </cell>
          <cell r="BL47">
            <v>-96.511159795196392</v>
          </cell>
          <cell r="BM47">
            <v>243.31454515982318</v>
          </cell>
          <cell r="BN47">
            <v>-117.91509849097001</v>
          </cell>
          <cell r="BO47">
            <v>258.27570205065189</v>
          </cell>
          <cell r="BP47">
            <v>77.350765831316352</v>
          </cell>
          <cell r="BQ47">
            <v>162.16431630556036</v>
          </cell>
          <cell r="BR47">
            <v>-33.074148819577353</v>
          </cell>
          <cell r="BS47" t="e">
            <v>#VALUE!</v>
          </cell>
          <cell r="BT47" t="e">
            <v>#VALUE!</v>
          </cell>
          <cell r="BU47" t="e">
            <v>#VALUE!</v>
          </cell>
          <cell r="BV47" t="e">
            <v>#VALUE!</v>
          </cell>
          <cell r="BW47" t="e">
            <v>#VALUE!</v>
          </cell>
          <cell r="BX47" t="e">
            <v>#VALUE!</v>
          </cell>
          <cell r="BY47" t="e">
            <v>#VALUE!</v>
          </cell>
          <cell r="BZ47" t="e">
            <v>#VALUE!</v>
          </cell>
          <cell r="CA47" t="e">
            <v>#VALUE!</v>
          </cell>
          <cell r="CB47" t="e">
            <v>#VALUE!</v>
          </cell>
          <cell r="CC47" t="e">
            <v>#VALUE!</v>
          </cell>
          <cell r="CD47" t="e">
            <v>#VALUE!</v>
          </cell>
        </row>
        <row r="48">
          <cell r="C48">
            <v>-1.8009682287156714E-14</v>
          </cell>
          <cell r="D48">
            <v>-98</v>
          </cell>
          <cell r="E48">
            <v>250</v>
          </cell>
          <cell r="F48">
            <v>-118.5</v>
          </cell>
          <cell r="G48">
            <v>268</v>
          </cell>
          <cell r="H48">
            <v>76.5</v>
          </cell>
          <cell r="I48">
            <v>171.36281763913354</v>
          </cell>
          <cell r="J48">
            <v>-19.791638089940513</v>
          </cell>
          <cell r="K48" t="e">
            <v>#VALUE!</v>
          </cell>
          <cell r="L48" t="e">
            <v>#VALUE!</v>
          </cell>
          <cell r="M48" t="e">
            <v>#VALUE!</v>
          </cell>
          <cell r="N48" t="e">
            <v>#VALUE!</v>
          </cell>
          <cell r="O48" t="e">
            <v>#VALUE!</v>
          </cell>
          <cell r="P48" t="e">
            <v>#VALUE!</v>
          </cell>
          <cell r="Q48" t="e">
            <v>#VALUE!</v>
          </cell>
          <cell r="R48" t="e">
            <v>#VALUE!</v>
          </cell>
          <cell r="S48" t="e">
            <v>#VALUE!</v>
          </cell>
          <cell r="T48" t="e">
            <v>#VALUE!</v>
          </cell>
          <cell r="U48" t="e">
            <v>#VALUE!</v>
          </cell>
          <cell r="V48" t="e">
            <v>#VALUE!</v>
          </cell>
          <cell r="W48">
            <v>-1.8009682287156714E-14</v>
          </cell>
          <cell r="X48">
            <v>-98</v>
          </cell>
          <cell r="Y48">
            <v>250</v>
          </cell>
          <cell r="Z48">
            <v>-118.5</v>
          </cell>
          <cell r="AA48">
            <v>268</v>
          </cell>
          <cell r="AB48">
            <v>76.5</v>
          </cell>
          <cell r="AC48">
            <v>170.99336865759625</v>
          </cell>
          <cell r="AD48">
            <v>-23.32146424202768</v>
          </cell>
          <cell r="AE48" t="e">
            <v>#VALUE!</v>
          </cell>
          <cell r="AF48" t="e">
            <v>#VALUE!</v>
          </cell>
          <cell r="AG48" t="e">
            <v>#VALUE!</v>
          </cell>
          <cell r="AH48" t="e">
            <v>#VALUE!</v>
          </cell>
          <cell r="AI48" t="e">
            <v>#VALUE!</v>
          </cell>
          <cell r="AJ48" t="e">
            <v>#VALUE!</v>
          </cell>
          <cell r="AK48" t="e">
            <v>#VALUE!</v>
          </cell>
          <cell r="AL48" t="e">
            <v>#VALUE!</v>
          </cell>
          <cell r="AM48" t="e">
            <v>#VALUE!</v>
          </cell>
          <cell r="AN48" t="e">
            <v>#VALUE!</v>
          </cell>
          <cell r="AO48" t="e">
            <v>#VALUE!</v>
          </cell>
          <cell r="AP48" t="e">
            <v>#VALUE!</v>
          </cell>
          <cell r="AQ48">
            <v>-1.8009682287156714E-14</v>
          </cell>
          <cell r="AR48">
            <v>-98</v>
          </cell>
          <cell r="AS48">
            <v>250</v>
          </cell>
          <cell r="AT48">
            <v>-118.5</v>
          </cell>
          <cell r="AU48">
            <v>268</v>
          </cell>
          <cell r="AV48">
            <v>76.5</v>
          </cell>
          <cell r="AW48">
            <v>170.36496642725047</v>
          </cell>
          <cell r="AX48">
            <v>-26.896216937867852</v>
          </cell>
          <cell r="AY48" t="e">
            <v>#VALUE!</v>
          </cell>
          <cell r="AZ48" t="e">
            <v>#VALUE!</v>
          </cell>
          <cell r="BA48" t="e">
            <v>#VALUE!</v>
          </cell>
          <cell r="BB48" t="e">
            <v>#VALUE!</v>
          </cell>
          <cell r="BC48" t="e">
            <v>#VALUE!</v>
          </cell>
          <cell r="BD48" t="e">
            <v>#VALUE!</v>
          </cell>
          <cell r="BE48" t="e">
            <v>#VALUE!</v>
          </cell>
          <cell r="BF48" t="e">
            <v>#VALUE!</v>
          </cell>
          <cell r="BG48" t="e">
            <v>#VALUE!</v>
          </cell>
          <cell r="BH48" t="e">
            <v>#VALUE!</v>
          </cell>
          <cell r="BI48" t="e">
            <v>#VALUE!</v>
          </cell>
          <cell r="BJ48" t="e">
            <v>#VALUE!</v>
          </cell>
          <cell r="BK48">
            <v>-1.8009682287156714E-14</v>
          </cell>
          <cell r="BL48">
            <v>-98</v>
          </cell>
          <cell r="BM48">
            <v>250</v>
          </cell>
          <cell r="BN48">
            <v>-118.5</v>
          </cell>
          <cell r="BO48">
            <v>268</v>
          </cell>
          <cell r="BP48">
            <v>76.5</v>
          </cell>
          <cell r="BQ48">
            <v>168.45038033710324</v>
          </cell>
          <cell r="BR48">
            <v>-33.624108160535421</v>
          </cell>
          <cell r="BS48" t="e">
            <v>#VALUE!</v>
          </cell>
          <cell r="BT48" t="e">
            <v>#VALUE!</v>
          </cell>
          <cell r="BU48" t="e">
            <v>#VALUE!</v>
          </cell>
          <cell r="BV48" t="e">
            <v>#VALUE!</v>
          </cell>
          <cell r="BW48" t="e">
            <v>#VALUE!</v>
          </cell>
          <cell r="BX48" t="e">
            <v>#VALUE!</v>
          </cell>
          <cell r="BY48" t="e">
            <v>#VALUE!</v>
          </cell>
          <cell r="BZ48" t="e">
            <v>#VALUE!</v>
          </cell>
          <cell r="CA48" t="e">
            <v>#VALUE!</v>
          </cell>
          <cell r="CB48" t="e">
            <v>#VALUE!</v>
          </cell>
          <cell r="CC48" t="e">
            <v>#VALUE!</v>
          </cell>
          <cell r="CD48" t="e">
            <v>#VALUE!</v>
          </cell>
        </row>
        <row r="49">
          <cell r="C49">
            <v>17.017521411359137</v>
          </cell>
          <cell r="D49">
            <v>-96.511159795196392</v>
          </cell>
          <cell r="E49">
            <v>256.68545484017682</v>
          </cell>
          <cell r="F49">
            <v>-117.91509849097001</v>
          </cell>
          <cell r="G49">
            <v>277.72429794934806</v>
          </cell>
          <cell r="H49">
            <v>77.350765831316352</v>
          </cell>
          <cell r="I49">
            <v>177.64888167067642</v>
          </cell>
          <cell r="J49">
            <v>-19.241678748982444</v>
          </cell>
          <cell r="K49" t="e">
            <v>#VALUE!</v>
          </cell>
          <cell r="L49" t="e">
            <v>#VALUE!</v>
          </cell>
          <cell r="M49" t="e">
            <v>#VALUE!</v>
          </cell>
          <cell r="N49" t="e">
            <v>#VALUE!</v>
          </cell>
          <cell r="O49" t="e">
            <v>#VALUE!</v>
          </cell>
          <cell r="P49" t="e">
            <v>#VALUE!</v>
          </cell>
          <cell r="Q49" t="e">
            <v>#VALUE!</v>
          </cell>
          <cell r="R49" t="e">
            <v>#VALUE!</v>
          </cell>
          <cell r="S49" t="e">
            <v>#VALUE!</v>
          </cell>
          <cell r="T49" t="e">
            <v>#VALUE!</v>
          </cell>
          <cell r="U49" t="e">
            <v>#VALUE!</v>
          </cell>
          <cell r="V49" t="e">
            <v>#VALUE!</v>
          </cell>
          <cell r="W49">
            <v>17.017521411359137</v>
          </cell>
          <cell r="X49">
            <v>-96.511159795196392</v>
          </cell>
          <cell r="Y49">
            <v>256.68545484017682</v>
          </cell>
          <cell r="Z49">
            <v>-117.91509849097001</v>
          </cell>
          <cell r="AA49">
            <v>277.72429794934806</v>
          </cell>
          <cell r="AB49">
            <v>77.350765831316352</v>
          </cell>
          <cell r="AC49">
            <v>177.27943268913913</v>
          </cell>
          <cell r="AD49">
            <v>-22.771504901069612</v>
          </cell>
          <cell r="AE49" t="e">
            <v>#VALUE!</v>
          </cell>
          <cell r="AF49" t="e">
            <v>#VALUE!</v>
          </cell>
          <cell r="AG49" t="e">
            <v>#VALUE!</v>
          </cell>
          <cell r="AH49" t="e">
            <v>#VALUE!</v>
          </cell>
          <cell r="AI49" t="e">
            <v>#VALUE!</v>
          </cell>
          <cell r="AJ49" t="e">
            <v>#VALUE!</v>
          </cell>
          <cell r="AK49" t="e">
            <v>#VALUE!</v>
          </cell>
          <cell r="AL49" t="e">
            <v>#VALUE!</v>
          </cell>
          <cell r="AM49" t="e">
            <v>#VALUE!</v>
          </cell>
          <cell r="AN49" t="e">
            <v>#VALUE!</v>
          </cell>
          <cell r="AO49" t="e">
            <v>#VALUE!</v>
          </cell>
          <cell r="AP49" t="e">
            <v>#VALUE!</v>
          </cell>
          <cell r="AQ49">
            <v>17.017521411359137</v>
          </cell>
          <cell r="AR49">
            <v>-96.511159795196392</v>
          </cell>
          <cell r="AS49">
            <v>256.68545484017682</v>
          </cell>
          <cell r="AT49">
            <v>-117.91509849097001</v>
          </cell>
          <cell r="AU49">
            <v>277.72429794934806</v>
          </cell>
          <cell r="AV49">
            <v>77.350765831316352</v>
          </cell>
          <cell r="AW49">
            <v>176.65103045879334</v>
          </cell>
          <cell r="AX49">
            <v>-26.346257596909783</v>
          </cell>
          <cell r="AY49" t="e">
            <v>#VALUE!</v>
          </cell>
          <cell r="AZ49" t="e">
            <v>#VALUE!</v>
          </cell>
          <cell r="BA49" t="e">
            <v>#VALUE!</v>
          </cell>
          <cell r="BB49" t="e">
            <v>#VALUE!</v>
          </cell>
          <cell r="BC49" t="e">
            <v>#VALUE!</v>
          </cell>
          <cell r="BD49" t="e">
            <v>#VALUE!</v>
          </cell>
          <cell r="BE49" t="e">
            <v>#VALUE!</v>
          </cell>
          <cell r="BF49" t="e">
            <v>#VALUE!</v>
          </cell>
          <cell r="BG49" t="e">
            <v>#VALUE!</v>
          </cell>
          <cell r="BH49" t="e">
            <v>#VALUE!</v>
          </cell>
          <cell r="BI49" t="e">
            <v>#VALUE!</v>
          </cell>
          <cell r="BJ49" t="e">
            <v>#VALUE!</v>
          </cell>
          <cell r="BK49">
            <v>17.017521411359137</v>
          </cell>
          <cell r="BL49">
            <v>-96.511159795196392</v>
          </cell>
          <cell r="BM49">
            <v>256.68545484017682</v>
          </cell>
          <cell r="BN49">
            <v>-117.91509849097001</v>
          </cell>
          <cell r="BO49">
            <v>277.72429794934806</v>
          </cell>
          <cell r="BP49">
            <v>77.350765831316352</v>
          </cell>
          <cell r="BQ49">
            <v>174.73644436864612</v>
          </cell>
          <cell r="BR49">
            <v>-33.074148819577353</v>
          </cell>
          <cell r="BS49" t="e">
            <v>#VALUE!</v>
          </cell>
          <cell r="BT49" t="e">
            <v>#VALUE!</v>
          </cell>
          <cell r="BU49" t="e">
            <v>#VALUE!</v>
          </cell>
          <cell r="BV49" t="e">
            <v>#VALUE!</v>
          </cell>
          <cell r="BW49" t="e">
            <v>#VALUE!</v>
          </cell>
          <cell r="BX49" t="e">
            <v>#VALUE!</v>
          </cell>
          <cell r="BY49" t="e">
            <v>#VALUE!</v>
          </cell>
          <cell r="BZ49" t="e">
            <v>#VALUE!</v>
          </cell>
          <cell r="CA49" t="e">
            <v>#VALUE!</v>
          </cell>
          <cell r="CB49" t="e">
            <v>#VALUE!</v>
          </cell>
          <cell r="CC49" t="e">
            <v>#VALUE!</v>
          </cell>
          <cell r="CD49" t="e">
            <v>#VALUE!</v>
          </cell>
        </row>
        <row r="50">
          <cell r="C50">
            <v>33.517974045915558</v>
          </cell>
          <cell r="D50">
            <v>-92.08987683701902</v>
          </cell>
          <cell r="E50">
            <v>263.16777551803824</v>
          </cell>
          <cell r="F50">
            <v>-116.17816590025747</v>
          </cell>
          <cell r="G50">
            <v>287.15312802623748</v>
          </cell>
          <cell r="H50">
            <v>79.877213235989132</v>
          </cell>
          <cell r="I50">
            <v>183.74394682752276</v>
          </cell>
          <cell r="J50">
            <v>-17.60851096239039</v>
          </cell>
          <cell r="K50" t="e">
            <v>#VALUE!</v>
          </cell>
          <cell r="L50" t="e">
            <v>#VALUE!</v>
          </cell>
          <cell r="M50" t="e">
            <v>#VALUE!</v>
          </cell>
          <cell r="N50" t="e">
            <v>#VALUE!</v>
          </cell>
          <cell r="O50" t="e">
            <v>#VALUE!</v>
          </cell>
          <cell r="P50" t="e">
            <v>#VALUE!</v>
          </cell>
          <cell r="Q50" t="e">
            <v>#VALUE!</v>
          </cell>
          <cell r="R50" t="e">
            <v>#VALUE!</v>
          </cell>
          <cell r="S50" t="e">
            <v>#VALUE!</v>
          </cell>
          <cell r="T50" t="e">
            <v>#VALUE!</v>
          </cell>
          <cell r="U50" t="e">
            <v>#VALUE!</v>
          </cell>
          <cell r="V50" t="e">
            <v>#VALUE!</v>
          </cell>
          <cell r="W50">
            <v>33.517974045915558</v>
          </cell>
          <cell r="X50">
            <v>-92.08987683701902</v>
          </cell>
          <cell r="Y50">
            <v>263.16777551803824</v>
          </cell>
          <cell r="Z50">
            <v>-116.17816590025747</v>
          </cell>
          <cell r="AA50">
            <v>287.15312802623748</v>
          </cell>
          <cell r="AB50">
            <v>79.877213235989132</v>
          </cell>
          <cell r="AC50">
            <v>183.37449784598547</v>
          </cell>
          <cell r="AD50">
            <v>-21.138337114477558</v>
          </cell>
          <cell r="AE50" t="e">
            <v>#VALUE!</v>
          </cell>
          <cell r="AF50" t="e">
            <v>#VALUE!</v>
          </cell>
          <cell r="AG50" t="e">
            <v>#VALUE!</v>
          </cell>
          <cell r="AH50" t="e">
            <v>#VALUE!</v>
          </cell>
          <cell r="AI50" t="e">
            <v>#VALUE!</v>
          </cell>
          <cell r="AJ50" t="e">
            <v>#VALUE!</v>
          </cell>
          <cell r="AK50" t="e">
            <v>#VALUE!</v>
          </cell>
          <cell r="AL50" t="e">
            <v>#VALUE!</v>
          </cell>
          <cell r="AM50" t="e">
            <v>#VALUE!</v>
          </cell>
          <cell r="AN50" t="e">
            <v>#VALUE!</v>
          </cell>
          <cell r="AO50" t="e">
            <v>#VALUE!</v>
          </cell>
          <cell r="AP50" t="e">
            <v>#VALUE!</v>
          </cell>
          <cell r="AQ50">
            <v>33.517974045915558</v>
          </cell>
          <cell r="AR50">
            <v>-92.08987683701902</v>
          </cell>
          <cell r="AS50">
            <v>263.16777551803824</v>
          </cell>
          <cell r="AT50">
            <v>-116.17816590025747</v>
          </cell>
          <cell r="AU50">
            <v>287.15312802623748</v>
          </cell>
          <cell r="AV50">
            <v>79.877213235989132</v>
          </cell>
          <cell r="AW50">
            <v>182.74609561563969</v>
          </cell>
          <cell r="AX50">
            <v>-24.713089810317729</v>
          </cell>
          <cell r="AY50" t="e">
            <v>#VALUE!</v>
          </cell>
          <cell r="AZ50" t="e">
            <v>#VALUE!</v>
          </cell>
          <cell r="BA50" t="e">
            <v>#VALUE!</v>
          </cell>
          <cell r="BB50" t="e">
            <v>#VALUE!</v>
          </cell>
          <cell r="BC50" t="e">
            <v>#VALUE!</v>
          </cell>
          <cell r="BD50" t="e">
            <v>#VALUE!</v>
          </cell>
          <cell r="BE50" t="e">
            <v>#VALUE!</v>
          </cell>
          <cell r="BF50" t="e">
            <v>#VALUE!</v>
          </cell>
          <cell r="BG50" t="e">
            <v>#VALUE!</v>
          </cell>
          <cell r="BH50" t="e">
            <v>#VALUE!</v>
          </cell>
          <cell r="BI50" t="e">
            <v>#VALUE!</v>
          </cell>
          <cell r="BJ50" t="e">
            <v>#VALUE!</v>
          </cell>
          <cell r="BK50">
            <v>33.517974045915558</v>
          </cell>
          <cell r="BL50">
            <v>-92.08987683701902</v>
          </cell>
          <cell r="BM50">
            <v>263.16777551803824</v>
          </cell>
          <cell r="BN50">
            <v>-116.17816590025747</v>
          </cell>
          <cell r="BO50">
            <v>287.15312802623748</v>
          </cell>
          <cell r="BP50">
            <v>79.877213235989132</v>
          </cell>
          <cell r="BQ50">
            <v>180.83150952549246</v>
          </cell>
          <cell r="BR50">
            <v>-31.440981032985299</v>
          </cell>
          <cell r="BS50" t="e">
            <v>#VALUE!</v>
          </cell>
          <cell r="BT50" t="e">
            <v>#VALUE!</v>
          </cell>
          <cell r="BU50" t="e">
            <v>#VALUE!</v>
          </cell>
          <cell r="BV50" t="e">
            <v>#VALUE!</v>
          </cell>
          <cell r="BW50" t="e">
            <v>#VALUE!</v>
          </cell>
          <cell r="BX50" t="e">
            <v>#VALUE!</v>
          </cell>
          <cell r="BY50" t="e">
            <v>#VALUE!</v>
          </cell>
          <cell r="BZ50" t="e">
            <v>#VALUE!</v>
          </cell>
          <cell r="CA50" t="e">
            <v>#VALUE!</v>
          </cell>
          <cell r="CB50" t="e">
            <v>#VALUE!</v>
          </cell>
          <cell r="CC50" t="e">
            <v>#VALUE!</v>
          </cell>
          <cell r="CD50" t="e">
            <v>#VALUE!</v>
          </cell>
        </row>
        <row r="51">
          <cell r="C51">
            <v>49.000000000000014</v>
          </cell>
          <cell r="D51">
            <v>-84.87048957087498</v>
          </cell>
          <cell r="E51">
            <v>269.25</v>
          </cell>
          <cell r="F51">
            <v>-113.34197804570088</v>
          </cell>
          <cell r="G51">
            <v>296</v>
          </cell>
          <cell r="H51">
            <v>84.002577388071444</v>
          </cell>
          <cell r="I51">
            <v>189.46281763913353</v>
          </cell>
          <cell r="J51">
            <v>-14.941757706937189</v>
          </cell>
          <cell r="K51" t="e">
            <v>#VALUE!</v>
          </cell>
          <cell r="L51" t="e">
            <v>#VALUE!</v>
          </cell>
          <cell r="M51" t="e">
            <v>#VALUE!</v>
          </cell>
          <cell r="N51" t="e">
            <v>#VALUE!</v>
          </cell>
          <cell r="O51" t="e">
            <v>#VALUE!</v>
          </cell>
          <cell r="P51" t="e">
            <v>#VALUE!</v>
          </cell>
          <cell r="Q51" t="e">
            <v>#VALUE!</v>
          </cell>
          <cell r="R51" t="e">
            <v>#VALUE!</v>
          </cell>
          <cell r="S51" t="e">
            <v>#VALUE!</v>
          </cell>
          <cell r="T51" t="e">
            <v>#VALUE!</v>
          </cell>
          <cell r="U51" t="e">
            <v>#VALUE!</v>
          </cell>
          <cell r="V51" t="e">
            <v>#VALUE!</v>
          </cell>
          <cell r="W51">
            <v>49.000000000000014</v>
          </cell>
          <cell r="X51">
            <v>-84.87048957087498</v>
          </cell>
          <cell r="Y51">
            <v>269.25</v>
          </cell>
          <cell r="Z51">
            <v>-113.34197804570088</v>
          </cell>
          <cell r="AA51">
            <v>296</v>
          </cell>
          <cell r="AB51">
            <v>84.002577388071444</v>
          </cell>
          <cell r="AC51">
            <v>189.09336865759624</v>
          </cell>
          <cell r="AD51">
            <v>-18.471583859024356</v>
          </cell>
          <cell r="AE51" t="e">
            <v>#VALUE!</v>
          </cell>
          <cell r="AF51" t="e">
            <v>#VALUE!</v>
          </cell>
          <cell r="AG51" t="e">
            <v>#VALUE!</v>
          </cell>
          <cell r="AH51" t="e">
            <v>#VALUE!</v>
          </cell>
          <cell r="AI51" t="e">
            <v>#VALUE!</v>
          </cell>
          <cell r="AJ51" t="e">
            <v>#VALUE!</v>
          </cell>
          <cell r="AK51" t="e">
            <v>#VALUE!</v>
          </cell>
          <cell r="AL51" t="e">
            <v>#VALUE!</v>
          </cell>
          <cell r="AM51" t="e">
            <v>#VALUE!</v>
          </cell>
          <cell r="AN51" t="e">
            <v>#VALUE!</v>
          </cell>
          <cell r="AO51" t="e">
            <v>#VALUE!</v>
          </cell>
          <cell r="AP51" t="e">
            <v>#VALUE!</v>
          </cell>
          <cell r="AQ51">
            <v>49.000000000000014</v>
          </cell>
          <cell r="AR51">
            <v>-84.87048957087498</v>
          </cell>
          <cell r="AS51">
            <v>269.25</v>
          </cell>
          <cell r="AT51">
            <v>-113.34197804570088</v>
          </cell>
          <cell r="AU51">
            <v>296</v>
          </cell>
          <cell r="AV51">
            <v>84.002577388071444</v>
          </cell>
          <cell r="AW51">
            <v>188.46496642725046</v>
          </cell>
          <cell r="AX51">
            <v>-22.046336554864528</v>
          </cell>
          <cell r="AY51" t="e">
            <v>#VALUE!</v>
          </cell>
          <cell r="AZ51" t="e">
            <v>#VALUE!</v>
          </cell>
          <cell r="BA51" t="e">
            <v>#VALUE!</v>
          </cell>
          <cell r="BB51" t="e">
            <v>#VALUE!</v>
          </cell>
          <cell r="BC51" t="e">
            <v>#VALUE!</v>
          </cell>
          <cell r="BD51" t="e">
            <v>#VALUE!</v>
          </cell>
          <cell r="BE51" t="e">
            <v>#VALUE!</v>
          </cell>
          <cell r="BF51" t="e">
            <v>#VALUE!</v>
          </cell>
          <cell r="BG51" t="e">
            <v>#VALUE!</v>
          </cell>
          <cell r="BH51" t="e">
            <v>#VALUE!</v>
          </cell>
          <cell r="BI51" t="e">
            <v>#VALUE!</v>
          </cell>
          <cell r="BJ51" t="e">
            <v>#VALUE!</v>
          </cell>
          <cell r="BK51">
            <v>49.000000000000014</v>
          </cell>
          <cell r="BL51">
            <v>-84.87048957087498</v>
          </cell>
          <cell r="BM51">
            <v>269.25</v>
          </cell>
          <cell r="BN51">
            <v>-113.34197804570088</v>
          </cell>
          <cell r="BO51">
            <v>296</v>
          </cell>
          <cell r="BP51">
            <v>84.002577388071444</v>
          </cell>
          <cell r="BQ51">
            <v>186.55038033710323</v>
          </cell>
          <cell r="BR51">
            <v>-28.774227777532097</v>
          </cell>
          <cell r="BS51" t="e">
            <v>#VALUE!</v>
          </cell>
          <cell r="BT51" t="e">
            <v>#VALUE!</v>
          </cell>
          <cell r="BU51" t="e">
            <v>#VALUE!</v>
          </cell>
          <cell r="BV51" t="e">
            <v>#VALUE!</v>
          </cell>
          <cell r="BW51" t="e">
            <v>#VALUE!</v>
          </cell>
          <cell r="BX51" t="e">
            <v>#VALUE!</v>
          </cell>
          <cell r="BY51" t="e">
            <v>#VALUE!</v>
          </cell>
          <cell r="BZ51" t="e">
            <v>#VALUE!</v>
          </cell>
          <cell r="CA51" t="e">
            <v>#VALUE!</v>
          </cell>
          <cell r="CB51" t="e">
            <v>#VALUE!</v>
          </cell>
          <cell r="CC51" t="e">
            <v>#VALUE!</v>
          </cell>
          <cell r="CD51" t="e">
            <v>#VALUE!</v>
          </cell>
        </row>
        <row r="52">
          <cell r="C52">
            <v>62.993185749280848</v>
          </cell>
          <cell r="D52">
            <v>-75.07235542565985</v>
          </cell>
          <cell r="E52">
            <v>274.74732297293178</v>
          </cell>
          <cell r="F52">
            <v>-109.49271106008067</v>
          </cell>
          <cell r="G52">
            <v>303.99610614244619</v>
          </cell>
          <cell r="H52">
            <v>89.601511185337216</v>
          </cell>
          <cell r="I52">
            <v>194.63172910978625</v>
          </cell>
          <cell r="J52">
            <v>-11.322446930847519</v>
          </cell>
          <cell r="K52" t="e">
            <v>#VALUE!</v>
          </cell>
          <cell r="L52" t="e">
            <v>#VALUE!</v>
          </cell>
          <cell r="M52" t="e">
            <v>#VALUE!</v>
          </cell>
          <cell r="N52" t="e">
            <v>#VALUE!</v>
          </cell>
          <cell r="O52" t="e">
            <v>#VALUE!</v>
          </cell>
          <cell r="P52" t="e">
            <v>#VALUE!</v>
          </cell>
          <cell r="Q52" t="e">
            <v>#VALUE!</v>
          </cell>
          <cell r="R52" t="e">
            <v>#VALUE!</v>
          </cell>
          <cell r="S52" t="e">
            <v>#VALUE!</v>
          </cell>
          <cell r="T52" t="e">
            <v>#VALUE!</v>
          </cell>
          <cell r="U52" t="e">
            <v>#VALUE!</v>
          </cell>
          <cell r="V52" t="e">
            <v>#VALUE!</v>
          </cell>
          <cell r="W52">
            <v>62.993185749280848</v>
          </cell>
          <cell r="X52">
            <v>-75.07235542565985</v>
          </cell>
          <cell r="Y52">
            <v>274.74732297293178</v>
          </cell>
          <cell r="Z52">
            <v>-109.49271106008067</v>
          </cell>
          <cell r="AA52">
            <v>303.99610614244619</v>
          </cell>
          <cell r="AB52">
            <v>89.601511185337216</v>
          </cell>
          <cell r="AC52">
            <v>194.26228012824896</v>
          </cell>
          <cell r="AD52">
            <v>-14.852273082934687</v>
          </cell>
          <cell r="AE52" t="e">
            <v>#VALUE!</v>
          </cell>
          <cell r="AF52" t="e">
            <v>#VALUE!</v>
          </cell>
          <cell r="AG52" t="e">
            <v>#VALUE!</v>
          </cell>
          <cell r="AH52" t="e">
            <v>#VALUE!</v>
          </cell>
          <cell r="AI52" t="e">
            <v>#VALUE!</v>
          </cell>
          <cell r="AJ52" t="e">
            <v>#VALUE!</v>
          </cell>
          <cell r="AK52" t="e">
            <v>#VALUE!</v>
          </cell>
          <cell r="AL52" t="e">
            <v>#VALUE!</v>
          </cell>
          <cell r="AM52" t="e">
            <v>#VALUE!</v>
          </cell>
          <cell r="AN52" t="e">
            <v>#VALUE!</v>
          </cell>
          <cell r="AO52" t="e">
            <v>#VALUE!</v>
          </cell>
          <cell r="AP52" t="e">
            <v>#VALUE!</v>
          </cell>
          <cell r="AQ52">
            <v>62.993185749280848</v>
          </cell>
          <cell r="AR52">
            <v>-75.07235542565985</v>
          </cell>
          <cell r="AS52">
            <v>274.74732297293178</v>
          </cell>
          <cell r="AT52">
            <v>-109.49271106008067</v>
          </cell>
          <cell r="AU52">
            <v>303.99610614244619</v>
          </cell>
          <cell r="AV52">
            <v>89.601511185337216</v>
          </cell>
          <cell r="AW52">
            <v>193.63387789790318</v>
          </cell>
          <cell r="AX52">
            <v>-18.427025778774858</v>
          </cell>
          <cell r="AY52" t="e">
            <v>#VALUE!</v>
          </cell>
          <cell r="AZ52" t="e">
            <v>#VALUE!</v>
          </cell>
          <cell r="BA52" t="e">
            <v>#VALUE!</v>
          </cell>
          <cell r="BB52" t="e">
            <v>#VALUE!</v>
          </cell>
          <cell r="BC52" t="e">
            <v>#VALUE!</v>
          </cell>
          <cell r="BD52" t="e">
            <v>#VALUE!</v>
          </cell>
          <cell r="BE52" t="e">
            <v>#VALUE!</v>
          </cell>
          <cell r="BF52" t="e">
            <v>#VALUE!</v>
          </cell>
          <cell r="BG52" t="e">
            <v>#VALUE!</v>
          </cell>
          <cell r="BH52" t="e">
            <v>#VALUE!</v>
          </cell>
          <cell r="BI52" t="e">
            <v>#VALUE!</v>
          </cell>
          <cell r="BJ52" t="e">
            <v>#VALUE!</v>
          </cell>
          <cell r="BK52">
            <v>62.993185749280848</v>
          </cell>
          <cell r="BL52">
            <v>-75.07235542565985</v>
          </cell>
          <cell r="BM52">
            <v>274.74732297293178</v>
          </cell>
          <cell r="BN52">
            <v>-109.49271106008067</v>
          </cell>
          <cell r="BO52">
            <v>303.99610614244619</v>
          </cell>
          <cell r="BP52">
            <v>89.601511185337216</v>
          </cell>
          <cell r="BQ52">
            <v>191.71929180775595</v>
          </cell>
          <cell r="BR52">
            <v>-25.154917001442428</v>
          </cell>
          <cell r="BS52" t="e">
            <v>#VALUE!</v>
          </cell>
          <cell r="BT52" t="e">
            <v>#VALUE!</v>
          </cell>
          <cell r="BU52" t="e">
            <v>#VALUE!</v>
          </cell>
          <cell r="BV52" t="e">
            <v>#VALUE!</v>
          </cell>
          <cell r="BW52" t="e">
            <v>#VALUE!</v>
          </cell>
          <cell r="BX52" t="e">
            <v>#VALUE!</v>
          </cell>
          <cell r="BY52" t="e">
            <v>#VALUE!</v>
          </cell>
          <cell r="BZ52" t="e">
            <v>#VALUE!</v>
          </cell>
          <cell r="CA52" t="e">
            <v>#VALUE!</v>
          </cell>
          <cell r="CB52" t="e">
            <v>#VALUE!</v>
          </cell>
          <cell r="CC52" t="e">
            <v>#VALUE!</v>
          </cell>
          <cell r="CD52" t="e">
            <v>#VALUE!</v>
          </cell>
        </row>
        <row r="53">
          <cell r="C53">
            <v>75.072355425659822</v>
          </cell>
          <cell r="D53">
            <v>-62.993185749280876</v>
          </cell>
          <cell r="E53">
            <v>279.49271106008064</v>
          </cell>
          <cell r="F53">
            <v>-104.74732297293177</v>
          </cell>
          <cell r="G53">
            <v>310.89848881466276</v>
          </cell>
          <cell r="H53">
            <v>96.503893857553777</v>
          </cell>
          <cell r="I53">
            <v>199.09362648004054</v>
          </cell>
          <cell r="J53">
            <v>-6.8605495605932454</v>
          </cell>
          <cell r="K53" t="e">
            <v>#VALUE!</v>
          </cell>
          <cell r="L53" t="e">
            <v>#VALUE!</v>
          </cell>
          <cell r="M53" t="e">
            <v>#VALUE!</v>
          </cell>
          <cell r="N53" t="e">
            <v>#VALUE!</v>
          </cell>
          <cell r="O53" t="e">
            <v>#VALUE!</v>
          </cell>
          <cell r="P53" t="e">
            <v>#VALUE!</v>
          </cell>
          <cell r="Q53" t="e">
            <v>#VALUE!</v>
          </cell>
          <cell r="R53" t="e">
            <v>#VALUE!</v>
          </cell>
          <cell r="S53" t="e">
            <v>#VALUE!</v>
          </cell>
          <cell r="T53" t="e">
            <v>#VALUE!</v>
          </cell>
          <cell r="U53" t="e">
            <v>#VALUE!</v>
          </cell>
          <cell r="V53" t="e">
            <v>#VALUE!</v>
          </cell>
          <cell r="W53">
            <v>75.072355425659822</v>
          </cell>
          <cell r="X53">
            <v>-62.993185749280876</v>
          </cell>
          <cell r="Y53">
            <v>279.49271106008064</v>
          </cell>
          <cell r="Z53">
            <v>-104.74732297293177</v>
          </cell>
          <cell r="AA53">
            <v>310.89848881466276</v>
          </cell>
          <cell r="AB53">
            <v>96.503893857553777</v>
          </cell>
          <cell r="AC53">
            <v>198.72417749850325</v>
          </cell>
          <cell r="AD53">
            <v>-10.390375712680413</v>
          </cell>
          <cell r="AE53" t="e">
            <v>#VALUE!</v>
          </cell>
          <cell r="AF53" t="e">
            <v>#VALUE!</v>
          </cell>
          <cell r="AG53" t="e">
            <v>#VALUE!</v>
          </cell>
          <cell r="AH53" t="e">
            <v>#VALUE!</v>
          </cell>
          <cell r="AI53" t="e">
            <v>#VALUE!</v>
          </cell>
          <cell r="AJ53" t="e">
            <v>#VALUE!</v>
          </cell>
          <cell r="AK53" t="e">
            <v>#VALUE!</v>
          </cell>
          <cell r="AL53" t="e">
            <v>#VALUE!</v>
          </cell>
          <cell r="AM53" t="e">
            <v>#VALUE!</v>
          </cell>
          <cell r="AN53" t="e">
            <v>#VALUE!</v>
          </cell>
          <cell r="AO53" t="e">
            <v>#VALUE!</v>
          </cell>
          <cell r="AP53" t="e">
            <v>#VALUE!</v>
          </cell>
          <cell r="AQ53">
            <v>75.072355425659822</v>
          </cell>
          <cell r="AR53">
            <v>-62.993185749280876</v>
          </cell>
          <cell r="AS53">
            <v>279.49271106008064</v>
          </cell>
          <cell r="AT53">
            <v>-104.74732297293177</v>
          </cell>
          <cell r="AU53">
            <v>310.89848881466276</v>
          </cell>
          <cell r="AV53">
            <v>96.503893857553777</v>
          </cell>
          <cell r="AW53">
            <v>198.09577526815747</v>
          </cell>
          <cell r="AX53">
            <v>-13.965128408520584</v>
          </cell>
          <cell r="AY53" t="e">
            <v>#VALUE!</v>
          </cell>
          <cell r="AZ53" t="e">
            <v>#VALUE!</v>
          </cell>
          <cell r="BA53" t="e">
            <v>#VALUE!</v>
          </cell>
          <cell r="BB53" t="e">
            <v>#VALUE!</v>
          </cell>
          <cell r="BC53" t="e">
            <v>#VALUE!</v>
          </cell>
          <cell r="BD53" t="e">
            <v>#VALUE!</v>
          </cell>
          <cell r="BE53" t="e">
            <v>#VALUE!</v>
          </cell>
          <cell r="BF53" t="e">
            <v>#VALUE!</v>
          </cell>
          <cell r="BG53" t="e">
            <v>#VALUE!</v>
          </cell>
          <cell r="BH53" t="e">
            <v>#VALUE!</v>
          </cell>
          <cell r="BI53" t="e">
            <v>#VALUE!</v>
          </cell>
          <cell r="BJ53" t="e">
            <v>#VALUE!</v>
          </cell>
          <cell r="BK53">
            <v>75.072355425659822</v>
          </cell>
          <cell r="BL53">
            <v>-62.993185749280876</v>
          </cell>
          <cell r="BM53">
            <v>279.49271106008064</v>
          </cell>
          <cell r="BN53">
            <v>-104.74732297293177</v>
          </cell>
          <cell r="BO53">
            <v>310.89848881466276</v>
          </cell>
          <cell r="BP53">
            <v>96.503893857553777</v>
          </cell>
          <cell r="BQ53">
            <v>196.18118917801024</v>
          </cell>
          <cell r="BR53">
            <v>-20.693019631188154</v>
          </cell>
          <cell r="BS53" t="e">
            <v>#VALUE!</v>
          </cell>
          <cell r="BT53" t="e">
            <v>#VALUE!</v>
          </cell>
          <cell r="BU53" t="e">
            <v>#VALUE!</v>
          </cell>
          <cell r="BV53" t="e">
            <v>#VALUE!</v>
          </cell>
          <cell r="BW53" t="e">
            <v>#VALUE!</v>
          </cell>
          <cell r="BX53" t="e">
            <v>#VALUE!</v>
          </cell>
          <cell r="BY53" t="e">
            <v>#VALUE!</v>
          </cell>
          <cell r="BZ53" t="e">
            <v>#VALUE!</v>
          </cell>
          <cell r="CA53" t="e">
            <v>#VALUE!</v>
          </cell>
          <cell r="CB53" t="e">
            <v>#VALUE!</v>
          </cell>
          <cell r="CC53" t="e">
            <v>#VALUE!</v>
          </cell>
          <cell r="CD53" t="e">
            <v>#VALUE!</v>
          </cell>
        </row>
        <row r="54">
          <cell r="C54">
            <v>84.870489570874966</v>
          </cell>
          <cell r="D54">
            <v>-49.000000000000043</v>
          </cell>
          <cell r="E54">
            <v>283.3419780457009</v>
          </cell>
          <cell r="F54">
            <v>-99.250000000000014</v>
          </cell>
          <cell r="G54">
            <v>316.49742261192853</v>
          </cell>
          <cell r="H54">
            <v>104.49999999999997</v>
          </cell>
          <cell r="I54">
            <v>202.7129372561302</v>
          </cell>
          <cell r="J54">
            <v>-1.691638089940529</v>
          </cell>
          <cell r="K54" t="e">
            <v>#VALUE!</v>
          </cell>
          <cell r="L54" t="e">
            <v>#VALUE!</v>
          </cell>
          <cell r="M54" t="e">
            <v>#VALUE!</v>
          </cell>
          <cell r="N54" t="e">
            <v>#VALUE!</v>
          </cell>
          <cell r="O54" t="e">
            <v>#VALUE!</v>
          </cell>
          <cell r="P54" t="e">
            <v>#VALUE!</v>
          </cell>
          <cell r="Q54" t="e">
            <v>#VALUE!</v>
          </cell>
          <cell r="R54" t="e">
            <v>#VALUE!</v>
          </cell>
          <cell r="S54" t="e">
            <v>#VALUE!</v>
          </cell>
          <cell r="T54" t="e">
            <v>#VALUE!</v>
          </cell>
          <cell r="U54" t="e">
            <v>#VALUE!</v>
          </cell>
          <cell r="V54" t="e">
            <v>#VALUE!</v>
          </cell>
          <cell r="W54">
            <v>84.870489570874966</v>
          </cell>
          <cell r="X54">
            <v>-49.000000000000043</v>
          </cell>
          <cell r="Y54">
            <v>283.3419780457009</v>
          </cell>
          <cell r="Z54">
            <v>-99.250000000000014</v>
          </cell>
          <cell r="AA54">
            <v>316.49742261192853</v>
          </cell>
          <cell r="AB54">
            <v>104.49999999999997</v>
          </cell>
          <cell r="AC54">
            <v>202.34348827459291</v>
          </cell>
          <cell r="AD54">
            <v>-5.2214642420276967</v>
          </cell>
          <cell r="AE54" t="e">
            <v>#VALUE!</v>
          </cell>
          <cell r="AF54" t="e">
            <v>#VALUE!</v>
          </cell>
          <cell r="AG54" t="e">
            <v>#VALUE!</v>
          </cell>
          <cell r="AH54" t="e">
            <v>#VALUE!</v>
          </cell>
          <cell r="AI54" t="e">
            <v>#VALUE!</v>
          </cell>
          <cell r="AJ54" t="e">
            <v>#VALUE!</v>
          </cell>
          <cell r="AK54" t="e">
            <v>#VALUE!</v>
          </cell>
          <cell r="AL54" t="e">
            <v>#VALUE!</v>
          </cell>
          <cell r="AM54" t="e">
            <v>#VALUE!</v>
          </cell>
          <cell r="AN54" t="e">
            <v>#VALUE!</v>
          </cell>
          <cell r="AO54" t="e">
            <v>#VALUE!</v>
          </cell>
          <cell r="AP54" t="e">
            <v>#VALUE!</v>
          </cell>
          <cell r="AQ54">
            <v>84.870489570874966</v>
          </cell>
          <cell r="AR54">
            <v>-49.000000000000043</v>
          </cell>
          <cell r="AS54">
            <v>283.3419780457009</v>
          </cell>
          <cell r="AT54">
            <v>-99.250000000000014</v>
          </cell>
          <cell r="AU54">
            <v>316.49742261192853</v>
          </cell>
          <cell r="AV54">
            <v>104.49999999999997</v>
          </cell>
          <cell r="AW54">
            <v>201.71508604424713</v>
          </cell>
          <cell r="AX54">
            <v>-8.7962169378678681</v>
          </cell>
          <cell r="AY54" t="e">
            <v>#VALUE!</v>
          </cell>
          <cell r="AZ54" t="e">
            <v>#VALUE!</v>
          </cell>
          <cell r="BA54" t="e">
            <v>#VALUE!</v>
          </cell>
          <cell r="BB54" t="e">
            <v>#VALUE!</v>
          </cell>
          <cell r="BC54" t="e">
            <v>#VALUE!</v>
          </cell>
          <cell r="BD54" t="e">
            <v>#VALUE!</v>
          </cell>
          <cell r="BE54" t="e">
            <v>#VALUE!</v>
          </cell>
          <cell r="BF54" t="e">
            <v>#VALUE!</v>
          </cell>
          <cell r="BG54" t="e">
            <v>#VALUE!</v>
          </cell>
          <cell r="BH54" t="e">
            <v>#VALUE!</v>
          </cell>
          <cell r="BI54" t="e">
            <v>#VALUE!</v>
          </cell>
          <cell r="BJ54" t="e">
            <v>#VALUE!</v>
          </cell>
          <cell r="BK54">
            <v>84.870489570874966</v>
          </cell>
          <cell r="BL54">
            <v>-49.000000000000043</v>
          </cell>
          <cell r="BM54">
            <v>283.3419780457009</v>
          </cell>
          <cell r="BN54">
            <v>-99.250000000000014</v>
          </cell>
          <cell r="BO54">
            <v>316.49742261192853</v>
          </cell>
          <cell r="BP54">
            <v>104.49999999999997</v>
          </cell>
          <cell r="BQ54">
            <v>199.80049995409991</v>
          </cell>
          <cell r="BR54">
            <v>-15.524108160535437</v>
          </cell>
          <cell r="BS54" t="e">
            <v>#VALUE!</v>
          </cell>
          <cell r="BT54" t="e">
            <v>#VALUE!</v>
          </cell>
          <cell r="BU54" t="e">
            <v>#VALUE!</v>
          </cell>
          <cell r="BV54" t="e">
            <v>#VALUE!</v>
          </cell>
          <cell r="BW54" t="e">
            <v>#VALUE!</v>
          </cell>
          <cell r="BX54" t="e">
            <v>#VALUE!</v>
          </cell>
          <cell r="BY54" t="e">
            <v>#VALUE!</v>
          </cell>
          <cell r="BZ54" t="e">
            <v>#VALUE!</v>
          </cell>
          <cell r="CA54" t="e">
            <v>#VALUE!</v>
          </cell>
          <cell r="CB54" t="e">
            <v>#VALUE!</v>
          </cell>
          <cell r="CC54" t="e">
            <v>#VALUE!</v>
          </cell>
          <cell r="CD54" t="e">
            <v>#VALUE!</v>
          </cell>
        </row>
        <row r="55">
          <cell r="C55">
            <v>92.089876837018991</v>
          </cell>
          <cell r="D55">
            <v>-33.517974045915608</v>
          </cell>
          <cell r="E55">
            <v>286.17816590025745</v>
          </cell>
          <cell r="F55">
            <v>-93.167775518038269</v>
          </cell>
          <cell r="G55">
            <v>320.62278676401087</v>
          </cell>
          <cell r="H55">
            <v>113.34687197376252</v>
          </cell>
          <cell r="I55">
            <v>205.37969051158342</v>
          </cell>
          <cell r="J55">
            <v>4.0272327216702557</v>
          </cell>
          <cell r="K55" t="e">
            <v>#VALUE!</v>
          </cell>
          <cell r="L55" t="e">
            <v>#VALUE!</v>
          </cell>
          <cell r="M55" t="e">
            <v>#VALUE!</v>
          </cell>
          <cell r="N55" t="e">
            <v>#VALUE!</v>
          </cell>
          <cell r="O55" t="e">
            <v>#VALUE!</v>
          </cell>
          <cell r="P55" t="e">
            <v>#VALUE!</v>
          </cell>
          <cell r="Q55" t="e">
            <v>#VALUE!</v>
          </cell>
          <cell r="R55" t="e">
            <v>#VALUE!</v>
          </cell>
          <cell r="S55" t="e">
            <v>#VALUE!</v>
          </cell>
          <cell r="T55" t="e">
            <v>#VALUE!</v>
          </cell>
          <cell r="U55" t="e">
            <v>#VALUE!</v>
          </cell>
          <cell r="V55" t="e">
            <v>#VALUE!</v>
          </cell>
          <cell r="W55">
            <v>92.089876837018991</v>
          </cell>
          <cell r="X55">
            <v>-33.517974045915608</v>
          </cell>
          <cell r="Y55">
            <v>286.17816590025745</v>
          </cell>
          <cell r="Z55">
            <v>-93.167775518038269</v>
          </cell>
          <cell r="AA55">
            <v>320.62278676401087</v>
          </cell>
          <cell r="AB55">
            <v>113.34687197376252</v>
          </cell>
          <cell r="AC55">
            <v>205.01024153004613</v>
          </cell>
          <cell r="AD55">
            <v>0.49740656958308804</v>
          </cell>
          <cell r="AE55" t="e">
            <v>#VALUE!</v>
          </cell>
          <cell r="AF55" t="e">
            <v>#VALUE!</v>
          </cell>
          <cell r="AG55" t="e">
            <v>#VALUE!</v>
          </cell>
          <cell r="AH55" t="e">
            <v>#VALUE!</v>
          </cell>
          <cell r="AI55" t="e">
            <v>#VALUE!</v>
          </cell>
          <cell r="AJ55" t="e">
            <v>#VALUE!</v>
          </cell>
          <cell r="AK55" t="e">
            <v>#VALUE!</v>
          </cell>
          <cell r="AL55" t="e">
            <v>#VALUE!</v>
          </cell>
          <cell r="AM55" t="e">
            <v>#VALUE!</v>
          </cell>
          <cell r="AN55" t="e">
            <v>#VALUE!</v>
          </cell>
          <cell r="AO55" t="e">
            <v>#VALUE!</v>
          </cell>
          <cell r="AP55" t="e">
            <v>#VALUE!</v>
          </cell>
          <cell r="AQ55">
            <v>92.089876837018991</v>
          </cell>
          <cell r="AR55">
            <v>-33.517974045915608</v>
          </cell>
          <cell r="AS55">
            <v>286.17816590025745</v>
          </cell>
          <cell r="AT55">
            <v>-93.167775518038269</v>
          </cell>
          <cell r="AU55">
            <v>320.62278676401087</v>
          </cell>
          <cell r="AV55">
            <v>113.34687197376252</v>
          </cell>
          <cell r="AW55">
            <v>204.38183929970035</v>
          </cell>
          <cell r="AX55">
            <v>-3.0773461262570834</v>
          </cell>
          <cell r="AY55" t="e">
            <v>#VALUE!</v>
          </cell>
          <cell r="AZ55" t="e">
            <v>#VALUE!</v>
          </cell>
          <cell r="BA55" t="e">
            <v>#VALUE!</v>
          </cell>
          <cell r="BB55" t="e">
            <v>#VALUE!</v>
          </cell>
          <cell r="BC55" t="e">
            <v>#VALUE!</v>
          </cell>
          <cell r="BD55" t="e">
            <v>#VALUE!</v>
          </cell>
          <cell r="BE55" t="e">
            <v>#VALUE!</v>
          </cell>
          <cell r="BF55" t="e">
            <v>#VALUE!</v>
          </cell>
          <cell r="BG55" t="e">
            <v>#VALUE!</v>
          </cell>
          <cell r="BH55" t="e">
            <v>#VALUE!</v>
          </cell>
          <cell r="BI55" t="e">
            <v>#VALUE!</v>
          </cell>
          <cell r="BJ55" t="e">
            <v>#VALUE!</v>
          </cell>
          <cell r="BK55">
            <v>92.089876837018991</v>
          </cell>
          <cell r="BL55">
            <v>-33.517974045915608</v>
          </cell>
          <cell r="BM55">
            <v>286.17816590025745</v>
          </cell>
          <cell r="BN55">
            <v>-93.167775518038269</v>
          </cell>
          <cell r="BO55">
            <v>320.62278676401087</v>
          </cell>
          <cell r="BP55">
            <v>113.34687197376252</v>
          </cell>
          <cell r="BQ55">
            <v>202.46725320955312</v>
          </cell>
          <cell r="BR55">
            <v>-9.8052373489246527</v>
          </cell>
          <cell r="BS55" t="e">
            <v>#VALUE!</v>
          </cell>
          <cell r="BT55" t="e">
            <v>#VALUE!</v>
          </cell>
          <cell r="BU55" t="e">
            <v>#VALUE!</v>
          </cell>
          <cell r="BV55" t="e">
            <v>#VALUE!</v>
          </cell>
          <cell r="BW55" t="e">
            <v>#VALUE!</v>
          </cell>
          <cell r="BX55" t="e">
            <v>#VALUE!</v>
          </cell>
          <cell r="BY55" t="e">
            <v>#VALUE!</v>
          </cell>
          <cell r="BZ55" t="e">
            <v>#VALUE!</v>
          </cell>
          <cell r="CA55" t="e">
            <v>#VALUE!</v>
          </cell>
          <cell r="CB55" t="e">
            <v>#VALUE!</v>
          </cell>
          <cell r="CC55" t="e">
            <v>#VALUE!</v>
          </cell>
          <cell r="CD55" t="e">
            <v>#VALUE!</v>
          </cell>
        </row>
        <row r="56">
          <cell r="C56">
            <v>96.511159795196392</v>
          </cell>
          <cell r="D56">
            <v>-17.017521411359176</v>
          </cell>
          <cell r="E56">
            <v>287.91509849097002</v>
          </cell>
          <cell r="F56">
            <v>-86.685454840176817</v>
          </cell>
          <cell r="G56">
            <v>323.14923416868362</v>
          </cell>
          <cell r="H56">
            <v>122.7757020506519</v>
          </cell>
          <cell r="I56">
            <v>207.01285829817547</v>
          </cell>
          <cell r="J56">
            <v>10.122297878516608</v>
          </cell>
          <cell r="K56" t="e">
            <v>#VALUE!</v>
          </cell>
          <cell r="L56" t="e">
            <v>#VALUE!</v>
          </cell>
          <cell r="M56" t="e">
            <v>#VALUE!</v>
          </cell>
          <cell r="N56" t="e">
            <v>#VALUE!</v>
          </cell>
          <cell r="O56" t="e">
            <v>#VALUE!</v>
          </cell>
          <cell r="P56" t="e">
            <v>#VALUE!</v>
          </cell>
          <cell r="Q56" t="e">
            <v>#VALUE!</v>
          </cell>
          <cell r="R56" t="e">
            <v>#VALUE!</v>
          </cell>
          <cell r="S56" t="e">
            <v>#VALUE!</v>
          </cell>
          <cell r="T56" t="e">
            <v>#VALUE!</v>
          </cell>
          <cell r="U56" t="e">
            <v>#VALUE!</v>
          </cell>
          <cell r="V56" t="e">
            <v>#VALUE!</v>
          </cell>
          <cell r="W56">
            <v>96.511159795196392</v>
          </cell>
          <cell r="X56">
            <v>-17.017521411359176</v>
          </cell>
          <cell r="Y56">
            <v>287.91509849097002</v>
          </cell>
          <cell r="Z56">
            <v>-86.685454840176817</v>
          </cell>
          <cell r="AA56">
            <v>323.14923416868362</v>
          </cell>
          <cell r="AB56">
            <v>122.7757020506519</v>
          </cell>
          <cell r="AC56">
            <v>206.64340931663818</v>
          </cell>
          <cell r="AD56">
            <v>6.5924717264294417</v>
          </cell>
          <cell r="AE56" t="e">
            <v>#VALUE!</v>
          </cell>
          <cell r="AF56" t="e">
            <v>#VALUE!</v>
          </cell>
          <cell r="AG56" t="e">
            <v>#VALUE!</v>
          </cell>
          <cell r="AH56" t="e">
            <v>#VALUE!</v>
          </cell>
          <cell r="AI56" t="e">
            <v>#VALUE!</v>
          </cell>
          <cell r="AJ56" t="e">
            <v>#VALUE!</v>
          </cell>
          <cell r="AK56" t="e">
            <v>#VALUE!</v>
          </cell>
          <cell r="AL56" t="e">
            <v>#VALUE!</v>
          </cell>
          <cell r="AM56" t="e">
            <v>#VALUE!</v>
          </cell>
          <cell r="AN56" t="e">
            <v>#VALUE!</v>
          </cell>
          <cell r="AO56" t="e">
            <v>#VALUE!</v>
          </cell>
          <cell r="AP56" t="e">
            <v>#VALUE!</v>
          </cell>
          <cell r="AQ56">
            <v>96.511159795196392</v>
          </cell>
          <cell r="AR56">
            <v>-17.017521411359176</v>
          </cell>
          <cell r="AS56">
            <v>287.91509849097002</v>
          </cell>
          <cell r="AT56">
            <v>-86.685454840176817</v>
          </cell>
          <cell r="AU56">
            <v>323.14923416868362</v>
          </cell>
          <cell r="AV56">
            <v>122.7757020506519</v>
          </cell>
          <cell r="AW56">
            <v>206.0150070862924</v>
          </cell>
          <cell r="AX56">
            <v>3.0177190305892703</v>
          </cell>
          <cell r="AY56" t="e">
            <v>#VALUE!</v>
          </cell>
          <cell r="AZ56" t="e">
            <v>#VALUE!</v>
          </cell>
          <cell r="BA56" t="e">
            <v>#VALUE!</v>
          </cell>
          <cell r="BB56" t="e">
            <v>#VALUE!</v>
          </cell>
          <cell r="BC56" t="e">
            <v>#VALUE!</v>
          </cell>
          <cell r="BD56" t="e">
            <v>#VALUE!</v>
          </cell>
          <cell r="BE56" t="e">
            <v>#VALUE!</v>
          </cell>
          <cell r="BF56" t="e">
            <v>#VALUE!</v>
          </cell>
          <cell r="BG56" t="e">
            <v>#VALUE!</v>
          </cell>
          <cell r="BH56" t="e">
            <v>#VALUE!</v>
          </cell>
          <cell r="BI56" t="e">
            <v>#VALUE!</v>
          </cell>
          <cell r="BJ56" t="e">
            <v>#VALUE!</v>
          </cell>
          <cell r="BK56">
            <v>96.511159795196392</v>
          </cell>
          <cell r="BL56">
            <v>-17.017521411359176</v>
          </cell>
          <cell r="BM56">
            <v>287.91509849097002</v>
          </cell>
          <cell r="BN56">
            <v>-86.685454840176817</v>
          </cell>
          <cell r="BO56">
            <v>323.14923416868362</v>
          </cell>
          <cell r="BP56">
            <v>122.7757020506519</v>
          </cell>
          <cell r="BQ56">
            <v>204.10042099614517</v>
          </cell>
          <cell r="BR56">
            <v>-3.7101721920782991</v>
          </cell>
          <cell r="BS56" t="e">
            <v>#VALUE!</v>
          </cell>
          <cell r="BT56" t="e">
            <v>#VALUE!</v>
          </cell>
          <cell r="BU56" t="e">
            <v>#VALUE!</v>
          </cell>
          <cell r="BV56" t="e">
            <v>#VALUE!</v>
          </cell>
          <cell r="BW56" t="e">
            <v>#VALUE!</v>
          </cell>
          <cell r="BX56" t="e">
            <v>#VALUE!</v>
          </cell>
          <cell r="BY56" t="e">
            <v>#VALUE!</v>
          </cell>
          <cell r="BZ56" t="e">
            <v>#VALUE!</v>
          </cell>
          <cell r="CA56" t="e">
            <v>#VALUE!</v>
          </cell>
          <cell r="CB56" t="e">
            <v>#VALUE!</v>
          </cell>
          <cell r="CC56" t="e">
            <v>#VALUE!</v>
          </cell>
          <cell r="CD56" t="e">
            <v>#VALUE!</v>
          </cell>
        </row>
        <row r="57">
          <cell r="C57">
            <v>98</v>
          </cell>
          <cell r="D57">
            <v>-2.4012909716208952E-14</v>
          </cell>
          <cell r="E57">
            <v>288.5</v>
          </cell>
          <cell r="F57">
            <v>-80.000000000000014</v>
          </cell>
          <cell r="G57">
            <v>324</v>
          </cell>
          <cell r="H57">
            <v>132.5</v>
          </cell>
          <cell r="I57">
            <v>207.56281763913353</v>
          </cell>
          <cell r="J57">
            <v>16.408361910059483</v>
          </cell>
          <cell r="K57" t="e">
            <v>#VALUE!</v>
          </cell>
          <cell r="L57" t="e">
            <v>#VALUE!</v>
          </cell>
          <cell r="M57" t="e">
            <v>#VALUE!</v>
          </cell>
          <cell r="N57" t="e">
            <v>#VALUE!</v>
          </cell>
          <cell r="O57" t="e">
            <v>#VALUE!</v>
          </cell>
          <cell r="P57" t="e">
            <v>#VALUE!</v>
          </cell>
          <cell r="Q57" t="e">
            <v>#VALUE!</v>
          </cell>
          <cell r="R57" t="e">
            <v>#VALUE!</v>
          </cell>
          <cell r="S57" t="e">
            <v>#VALUE!</v>
          </cell>
          <cell r="T57" t="e">
            <v>#VALUE!</v>
          </cell>
          <cell r="U57" t="e">
            <v>#VALUE!</v>
          </cell>
          <cell r="V57" t="e">
            <v>#VALUE!</v>
          </cell>
          <cell r="W57">
            <v>98</v>
          </cell>
          <cell r="X57">
            <v>-2.4012909716208952E-14</v>
          </cell>
          <cell r="Y57">
            <v>288.5</v>
          </cell>
          <cell r="Z57">
            <v>-80.000000000000014</v>
          </cell>
          <cell r="AA57">
            <v>324</v>
          </cell>
          <cell r="AB57">
            <v>132.5</v>
          </cell>
          <cell r="AC57">
            <v>207.19336865759624</v>
          </cell>
          <cell r="AD57">
            <v>12.878535757972314</v>
          </cell>
          <cell r="AE57" t="e">
            <v>#VALUE!</v>
          </cell>
          <cell r="AF57" t="e">
            <v>#VALUE!</v>
          </cell>
          <cell r="AG57" t="e">
            <v>#VALUE!</v>
          </cell>
          <cell r="AH57" t="e">
            <v>#VALUE!</v>
          </cell>
          <cell r="AI57" t="e">
            <v>#VALUE!</v>
          </cell>
          <cell r="AJ57" t="e">
            <v>#VALUE!</v>
          </cell>
          <cell r="AK57" t="e">
            <v>#VALUE!</v>
          </cell>
          <cell r="AL57" t="e">
            <v>#VALUE!</v>
          </cell>
          <cell r="AM57" t="e">
            <v>#VALUE!</v>
          </cell>
          <cell r="AN57" t="e">
            <v>#VALUE!</v>
          </cell>
          <cell r="AO57" t="e">
            <v>#VALUE!</v>
          </cell>
          <cell r="AP57" t="e">
            <v>#VALUE!</v>
          </cell>
          <cell r="AQ57">
            <v>98</v>
          </cell>
          <cell r="AR57">
            <v>-2.4012909716208952E-14</v>
          </cell>
          <cell r="AS57">
            <v>288.5</v>
          </cell>
          <cell r="AT57">
            <v>-80.000000000000014</v>
          </cell>
          <cell r="AU57">
            <v>324</v>
          </cell>
          <cell r="AV57">
            <v>132.5</v>
          </cell>
          <cell r="AW57">
            <v>206.56496642725045</v>
          </cell>
          <cell r="AX57">
            <v>9.3037830621321422</v>
          </cell>
          <cell r="AY57" t="e">
            <v>#VALUE!</v>
          </cell>
          <cell r="AZ57" t="e">
            <v>#VALUE!</v>
          </cell>
          <cell r="BA57" t="e">
            <v>#VALUE!</v>
          </cell>
          <cell r="BB57" t="e">
            <v>#VALUE!</v>
          </cell>
          <cell r="BC57" t="e">
            <v>#VALUE!</v>
          </cell>
          <cell r="BD57" t="e">
            <v>#VALUE!</v>
          </cell>
          <cell r="BE57" t="e">
            <v>#VALUE!</v>
          </cell>
          <cell r="BF57" t="e">
            <v>#VALUE!</v>
          </cell>
          <cell r="BG57" t="e">
            <v>#VALUE!</v>
          </cell>
          <cell r="BH57" t="e">
            <v>#VALUE!</v>
          </cell>
          <cell r="BI57" t="e">
            <v>#VALUE!</v>
          </cell>
          <cell r="BJ57" t="e">
            <v>#VALUE!</v>
          </cell>
          <cell r="BK57">
            <v>98</v>
          </cell>
          <cell r="BL57">
            <v>-2.4012909716208952E-14</v>
          </cell>
          <cell r="BM57">
            <v>288.5</v>
          </cell>
          <cell r="BN57">
            <v>-80.000000000000014</v>
          </cell>
          <cell r="BO57">
            <v>324</v>
          </cell>
          <cell r="BP57">
            <v>132.5</v>
          </cell>
          <cell r="BQ57">
            <v>204.65038033710323</v>
          </cell>
          <cell r="BR57">
            <v>2.5758918394645729</v>
          </cell>
          <cell r="BS57" t="e">
            <v>#VALUE!</v>
          </cell>
          <cell r="BT57" t="e">
            <v>#VALUE!</v>
          </cell>
          <cell r="BU57" t="e">
            <v>#VALUE!</v>
          </cell>
          <cell r="BV57" t="e">
            <v>#VALUE!</v>
          </cell>
          <cell r="BW57" t="e">
            <v>#VALUE!</v>
          </cell>
          <cell r="BX57" t="e">
            <v>#VALUE!</v>
          </cell>
          <cell r="BY57" t="e">
            <v>#VALUE!</v>
          </cell>
          <cell r="BZ57" t="e">
            <v>#VALUE!</v>
          </cell>
          <cell r="CA57" t="e">
            <v>#VALUE!</v>
          </cell>
          <cell r="CB57" t="e">
            <v>#VALUE!</v>
          </cell>
          <cell r="CC57" t="e">
            <v>#VALUE!</v>
          </cell>
          <cell r="CD57" t="e">
            <v>#VALUE!</v>
          </cell>
        </row>
        <row r="61">
          <cell r="C61" t="str">
            <v>CRK</v>
          </cell>
          <cell r="D61">
            <v>0</v>
          </cell>
          <cell r="E61">
            <v>0</v>
          </cell>
          <cell r="I61">
            <v>70.199418484086124</v>
          </cell>
          <cell r="J61">
            <v>68.381588490588214</v>
          </cell>
          <cell r="K61">
            <v>-7.9330820740168573</v>
          </cell>
          <cell r="L61">
            <v>-97.678381481302779</v>
          </cell>
          <cell r="W61" t="str">
            <v>CRK</v>
          </cell>
          <cell r="X61">
            <v>0</v>
          </cell>
          <cell r="Y61">
            <v>0</v>
          </cell>
          <cell r="AC61">
            <v>71.897322797554395</v>
          </cell>
          <cell r="AD61">
            <v>66.594106154706111</v>
          </cell>
          <cell r="AE61">
            <v>-7.9330820740168573</v>
          </cell>
          <cell r="AF61">
            <v>-97.678381481302779</v>
          </cell>
          <cell r="AQ61" t="str">
            <v>CRK</v>
          </cell>
          <cell r="AR61">
            <v>0</v>
          </cell>
          <cell r="AS61">
            <v>0</v>
          </cell>
          <cell r="AW61">
            <v>73.667067068429091</v>
          </cell>
          <cell r="AX61">
            <v>64.630977321525691</v>
          </cell>
          <cell r="AY61">
            <v>-7.9330820740168573</v>
          </cell>
          <cell r="AZ61">
            <v>-97.678381481302779</v>
          </cell>
          <cell r="BK61" t="str">
            <v>CRK</v>
          </cell>
          <cell r="BL61">
            <v>0</v>
          </cell>
          <cell r="BM61">
            <v>0</v>
          </cell>
          <cell r="BQ61">
            <v>77.149939692846189</v>
          </cell>
          <cell r="BR61">
            <v>60.430843162992481</v>
          </cell>
          <cell r="BS61">
            <v>-7.9330820740168573</v>
          </cell>
          <cell r="BT61">
            <v>-97.678381481302779</v>
          </cell>
        </row>
        <row r="62">
          <cell r="C62" t="str">
            <v>ALT</v>
          </cell>
          <cell r="D62">
            <v>250</v>
          </cell>
          <cell r="E62">
            <v>-80</v>
          </cell>
          <cell r="I62">
            <v>246.88343204235053</v>
          </cell>
          <cell r="J62">
            <v>-118.37364986765466</v>
          </cell>
          <cell r="K62">
            <v>287.9665850326021</v>
          </cell>
          <cell r="L62">
            <v>-86.386581320408652</v>
          </cell>
          <cell r="W62" t="str">
            <v>ALT</v>
          </cell>
          <cell r="X62">
            <v>250</v>
          </cell>
          <cell r="Y62">
            <v>-80</v>
          </cell>
          <cell r="AC62">
            <v>246.88343204235053</v>
          </cell>
          <cell r="AD62">
            <v>-118.37364986765466</v>
          </cell>
          <cell r="AE62">
            <v>287.9665850326021</v>
          </cell>
          <cell r="AF62">
            <v>-86.386581320408652</v>
          </cell>
          <cell r="AQ62" t="str">
            <v>ALT</v>
          </cell>
          <cell r="AR62">
            <v>250</v>
          </cell>
          <cell r="AS62">
            <v>-80</v>
          </cell>
          <cell r="AW62">
            <v>246.88343204235053</v>
          </cell>
          <cell r="AX62">
            <v>-118.37364986765466</v>
          </cell>
          <cell r="AY62">
            <v>287.9665850326021</v>
          </cell>
          <cell r="AZ62">
            <v>-86.386581320408652</v>
          </cell>
          <cell r="BK62" t="str">
            <v>ALT</v>
          </cell>
          <cell r="BL62">
            <v>250</v>
          </cell>
          <cell r="BM62">
            <v>-80</v>
          </cell>
          <cell r="BQ62">
            <v>246.88343204235053</v>
          </cell>
          <cell r="BR62">
            <v>-118.37364986765466</v>
          </cell>
          <cell r="BS62">
            <v>287.9665850326021</v>
          </cell>
          <cell r="BT62">
            <v>-86.386581320408652</v>
          </cell>
        </row>
        <row r="63">
          <cell r="C63" t="str">
            <v>AC</v>
          </cell>
          <cell r="D63">
            <v>268</v>
          </cell>
          <cell r="E63">
            <v>132.5</v>
          </cell>
          <cell r="I63">
            <v>323.22412368378491</v>
          </cell>
          <cell r="J63">
            <v>123.21042717031469</v>
          </cell>
          <cell r="K63">
            <v>212.03966621478907</v>
          </cell>
          <cell r="L63">
            <v>134.60737814541687</v>
          </cell>
          <cell r="W63" t="str">
            <v>AC</v>
          </cell>
          <cell r="X63">
            <v>268</v>
          </cell>
          <cell r="Y63">
            <v>132.5</v>
          </cell>
          <cell r="AC63">
            <v>323.22412368378491</v>
          </cell>
          <cell r="AD63">
            <v>123.21042717031469</v>
          </cell>
          <cell r="AE63">
            <v>212.0438094916845</v>
          </cell>
          <cell r="AF63">
            <v>134.71466561744691</v>
          </cell>
          <cell r="AQ63" t="str">
            <v>AC</v>
          </cell>
          <cell r="AR63">
            <v>268</v>
          </cell>
          <cell r="AS63">
            <v>132.5</v>
          </cell>
          <cell r="AW63">
            <v>323.22412368378491</v>
          </cell>
          <cell r="AX63">
            <v>123.21042717031469</v>
          </cell>
          <cell r="AY63">
            <v>212.05269438258475</v>
          </cell>
          <cell r="AZ63">
            <v>134.92878450084322</v>
          </cell>
          <cell r="BK63" t="str">
            <v>AC</v>
          </cell>
          <cell r="BL63">
            <v>268</v>
          </cell>
          <cell r="BM63">
            <v>132.5</v>
          </cell>
          <cell r="BQ63">
            <v>323.22412368378491</v>
          </cell>
          <cell r="BR63">
            <v>123.21042717031469</v>
          </cell>
          <cell r="BS63">
            <v>212.08597820065552</v>
          </cell>
          <cell r="BT63">
            <v>135.60196167326916</v>
          </cell>
        </row>
        <row r="64">
          <cell r="C64" t="str">
            <v>TEN</v>
          </cell>
          <cell r="D64">
            <v>171.36281763913354</v>
          </cell>
          <cell r="E64">
            <v>16.40836191005949</v>
          </cell>
          <cell r="I64">
            <v>207.53717626457347</v>
          </cell>
          <cell r="J64">
            <v>15.046092466057861</v>
          </cell>
          <cell r="K64">
            <v>145.43201203582825</v>
          </cell>
          <cell r="L64">
            <v>-8.8509595527904388</v>
          </cell>
          <cell r="W64" t="str">
            <v>TEN</v>
          </cell>
          <cell r="X64">
            <v>170.99336865759625</v>
          </cell>
          <cell r="Y64">
            <v>12.878535757972323</v>
          </cell>
          <cell r="AC64">
            <v>207.16772728303619</v>
          </cell>
          <cell r="AD64">
            <v>11.516266313970693</v>
          </cell>
          <cell r="AE64">
            <v>144.43537799156084</v>
          </cell>
          <cell r="AF64">
            <v>-11.720511617541565</v>
          </cell>
          <cell r="AQ64" t="str">
            <v>TEN</v>
          </cell>
          <cell r="AR64">
            <v>170.36496642725047</v>
          </cell>
          <cell r="AS64">
            <v>9.3037830621321511</v>
          </cell>
          <cell r="AW64">
            <v>206.53664672012584</v>
          </cell>
          <cell r="AX64">
            <v>7.8721599308539707</v>
          </cell>
          <cell r="AY64">
            <v>143.15325389789197</v>
          </cell>
          <cell r="AZ64">
            <v>-14.570108560717145</v>
          </cell>
          <cell r="BK64" t="str">
            <v>TEN</v>
          </cell>
          <cell r="BL64">
            <v>168.45038033710324</v>
          </cell>
          <cell r="BM64">
            <v>2.5758918394645818</v>
          </cell>
          <cell r="BQ64">
            <v>204.61631718264667</v>
          </cell>
          <cell r="BR64">
            <v>1.0058561442766409</v>
          </cell>
          <cell r="BS64">
            <v>139.95213730770496</v>
          </cell>
          <cell r="BT64">
            <v>-19.746521655436737</v>
          </cell>
        </row>
        <row r="65">
          <cell r="C65" t="str"/>
          <cell r="D65" t="str">
            <v>0</v>
          </cell>
          <cell r="E65">
            <v>0</v>
          </cell>
          <cell r="I65">
            <v>145.43201203582825</v>
          </cell>
          <cell r="J65">
            <v>-8.8509595527904388</v>
          </cell>
          <cell r="K65">
            <v>145.43201203582825</v>
          </cell>
          <cell r="L65">
            <v>-8.8509595527904388</v>
          </cell>
          <cell r="W65" t="str"/>
          <cell r="X65" t="str">
            <v>0</v>
          </cell>
          <cell r="Y65">
            <v>0</v>
          </cell>
          <cell r="AC65">
            <v>144.43537799156084</v>
          </cell>
          <cell r="AD65">
            <v>-11.720511617541565</v>
          </cell>
          <cell r="AE65">
            <v>144.43537799156084</v>
          </cell>
          <cell r="AF65">
            <v>-11.720511617541565</v>
          </cell>
          <cell r="AQ65" t="str"/>
          <cell r="AR65" t="str">
            <v>0</v>
          </cell>
          <cell r="AS65">
            <v>0</v>
          </cell>
          <cell r="AW65">
            <v>143.15325389789197</v>
          </cell>
          <cell r="AX65">
            <v>-14.570108560717145</v>
          </cell>
          <cell r="AY65">
            <v>143.15325389789197</v>
          </cell>
          <cell r="AZ65">
            <v>-14.570108560717145</v>
          </cell>
          <cell r="BK65" t="str"/>
          <cell r="BL65" t="str">
            <v>0</v>
          </cell>
          <cell r="BM65">
            <v>0</v>
          </cell>
          <cell r="BQ65">
            <v>139.95213730770496</v>
          </cell>
          <cell r="BR65">
            <v>-19.746521655436737</v>
          </cell>
          <cell r="BS65">
            <v>139.95213730770496</v>
          </cell>
          <cell r="BT65">
            <v>-19.746521655436737</v>
          </cell>
        </row>
        <row r="66">
          <cell r="C66" t="str"/>
          <cell r="D66" t="str">
            <v>0</v>
          </cell>
          <cell r="E66">
            <v>0</v>
          </cell>
          <cell r="I66">
            <v>145.43201203582825</v>
          </cell>
          <cell r="J66">
            <v>-8.8509595527904388</v>
          </cell>
          <cell r="K66">
            <v>145.43201203582825</v>
          </cell>
          <cell r="L66">
            <v>-8.8509595527904388</v>
          </cell>
          <cell r="W66" t="str"/>
          <cell r="X66" t="str">
            <v>0</v>
          </cell>
          <cell r="Y66">
            <v>0</v>
          </cell>
          <cell r="AC66">
            <v>144.43537799156084</v>
          </cell>
          <cell r="AD66">
            <v>-11.720511617541565</v>
          </cell>
          <cell r="AE66">
            <v>144.43537799156084</v>
          </cell>
          <cell r="AF66">
            <v>-11.720511617541565</v>
          </cell>
          <cell r="AQ66" t="str"/>
          <cell r="AR66" t="str">
            <v>0</v>
          </cell>
          <cell r="AS66">
            <v>0</v>
          </cell>
          <cell r="AW66">
            <v>143.15325389789197</v>
          </cell>
          <cell r="AX66">
            <v>-14.570108560717145</v>
          </cell>
          <cell r="AY66">
            <v>143.15325389789197</v>
          </cell>
          <cell r="AZ66">
            <v>-14.570108560717145</v>
          </cell>
          <cell r="BK66" t="str"/>
          <cell r="BL66" t="str">
            <v>0</v>
          </cell>
          <cell r="BM66">
            <v>0</v>
          </cell>
          <cell r="BQ66">
            <v>139.95213730770496</v>
          </cell>
          <cell r="BR66">
            <v>-19.746521655436737</v>
          </cell>
          <cell r="BS66">
            <v>139.95213730770496</v>
          </cell>
          <cell r="BT66">
            <v>-19.746521655436737</v>
          </cell>
        </row>
        <row r="67">
          <cell r="C67" t="str"/>
          <cell r="D67" t="str">
            <v>0</v>
          </cell>
          <cell r="E67">
            <v>0</v>
          </cell>
          <cell r="I67">
            <v>145.43201203582825</v>
          </cell>
          <cell r="J67">
            <v>-8.8509595527904388</v>
          </cell>
          <cell r="K67">
            <v>145.43201203582825</v>
          </cell>
          <cell r="L67">
            <v>-8.8509595527904388</v>
          </cell>
          <cell r="W67" t="str"/>
          <cell r="X67" t="str">
            <v>0</v>
          </cell>
          <cell r="Y67">
            <v>0</v>
          </cell>
          <cell r="AC67">
            <v>144.43537799156084</v>
          </cell>
          <cell r="AD67">
            <v>-11.720511617541565</v>
          </cell>
          <cell r="AE67">
            <v>144.43537799156084</v>
          </cell>
          <cell r="AF67">
            <v>-11.720511617541565</v>
          </cell>
          <cell r="AQ67" t="str"/>
          <cell r="AR67" t="str">
            <v>0</v>
          </cell>
          <cell r="AS67">
            <v>0</v>
          </cell>
          <cell r="AW67">
            <v>143.15325389789197</v>
          </cell>
          <cell r="AX67">
            <v>-14.570108560717145</v>
          </cell>
          <cell r="AY67">
            <v>143.15325389789197</v>
          </cell>
          <cell r="AZ67">
            <v>-14.570108560717145</v>
          </cell>
          <cell r="BK67" t="str"/>
          <cell r="BL67" t="str">
            <v>0</v>
          </cell>
          <cell r="BM67">
            <v>0</v>
          </cell>
          <cell r="BQ67">
            <v>139.95213730770496</v>
          </cell>
          <cell r="BR67">
            <v>-19.746521655436737</v>
          </cell>
          <cell r="BS67">
            <v>139.95213730770496</v>
          </cell>
          <cell r="BT67">
            <v>-19.746521655436737</v>
          </cell>
        </row>
        <row r="68">
          <cell r="C68" t="str"/>
          <cell r="D68" t="str">
            <v>0</v>
          </cell>
          <cell r="E68">
            <v>0</v>
          </cell>
          <cell r="I68">
            <v>145.43201203582825</v>
          </cell>
          <cell r="J68">
            <v>-8.8509595527904388</v>
          </cell>
          <cell r="K68">
            <v>145.43201203582825</v>
          </cell>
          <cell r="L68">
            <v>-8.8509595527904388</v>
          </cell>
          <cell r="W68" t="str"/>
          <cell r="X68" t="str">
            <v>0</v>
          </cell>
          <cell r="Y68">
            <v>0</v>
          </cell>
          <cell r="AC68">
            <v>144.43537799156084</v>
          </cell>
          <cell r="AD68">
            <v>-11.720511617541565</v>
          </cell>
          <cell r="AE68">
            <v>144.43537799156084</v>
          </cell>
          <cell r="AF68">
            <v>-11.720511617541565</v>
          </cell>
          <cell r="AQ68" t="str"/>
          <cell r="AR68" t="str">
            <v>0</v>
          </cell>
          <cell r="AS68">
            <v>0</v>
          </cell>
          <cell r="AW68">
            <v>143.15325389789197</v>
          </cell>
          <cell r="AX68">
            <v>-14.570108560717145</v>
          </cell>
          <cell r="AY68">
            <v>143.15325389789197</v>
          </cell>
          <cell r="AZ68">
            <v>-14.570108560717145</v>
          </cell>
          <cell r="BK68" t="str"/>
          <cell r="BL68" t="str">
            <v>0</v>
          </cell>
          <cell r="BM68">
            <v>0</v>
          </cell>
          <cell r="BQ68">
            <v>139.95213730770496</v>
          </cell>
          <cell r="BR68">
            <v>-19.746521655436737</v>
          </cell>
          <cell r="BS68">
            <v>139.95213730770496</v>
          </cell>
          <cell r="BT68">
            <v>-19.746521655436737</v>
          </cell>
        </row>
        <row r="69">
          <cell r="C69" t="str"/>
          <cell r="D69" t="str">
            <v>0</v>
          </cell>
          <cell r="E69">
            <v>0</v>
          </cell>
          <cell r="I69">
            <v>145.43201203582825</v>
          </cell>
          <cell r="J69">
            <v>-8.8509595527904388</v>
          </cell>
          <cell r="K69">
            <v>145.43201203582825</v>
          </cell>
          <cell r="L69">
            <v>-8.8509595527904388</v>
          </cell>
          <cell r="W69" t="str"/>
          <cell r="X69" t="str">
            <v>0</v>
          </cell>
          <cell r="Y69">
            <v>0</v>
          </cell>
          <cell r="AC69">
            <v>144.43537799156084</v>
          </cell>
          <cell r="AD69">
            <v>-11.720511617541565</v>
          </cell>
          <cell r="AE69">
            <v>144.43537799156084</v>
          </cell>
          <cell r="AF69">
            <v>-11.720511617541565</v>
          </cell>
          <cell r="AQ69" t="str"/>
          <cell r="AR69" t="str">
            <v>0</v>
          </cell>
          <cell r="AS69">
            <v>0</v>
          </cell>
          <cell r="AW69">
            <v>143.15325389789197</v>
          </cell>
          <cell r="AX69">
            <v>-14.570108560717145</v>
          </cell>
          <cell r="AY69">
            <v>143.15325389789197</v>
          </cell>
          <cell r="AZ69">
            <v>-14.570108560717145</v>
          </cell>
          <cell r="BK69" t="str"/>
          <cell r="BL69" t="str">
            <v>0</v>
          </cell>
          <cell r="BM69">
            <v>0</v>
          </cell>
          <cell r="BQ69">
            <v>139.95213730770496</v>
          </cell>
          <cell r="BR69">
            <v>-19.746521655436737</v>
          </cell>
          <cell r="BS69">
            <v>139.95213730770496</v>
          </cell>
          <cell r="BT69">
            <v>-19.746521655436737</v>
          </cell>
        </row>
        <row r="70">
          <cell r="C70" t="str"/>
          <cell r="D70" t="str">
            <v>0</v>
          </cell>
          <cell r="E70">
            <v>0</v>
          </cell>
          <cell r="I70">
            <v>145.43201203582825</v>
          </cell>
          <cell r="J70">
            <v>-8.8509595527904388</v>
          </cell>
          <cell r="K70">
            <v>145.43201203582825</v>
          </cell>
          <cell r="L70">
            <v>-8.8509595527904388</v>
          </cell>
          <cell r="W70" t="str"/>
          <cell r="X70" t="str">
            <v>0</v>
          </cell>
          <cell r="Y70">
            <v>0</v>
          </cell>
          <cell r="AC70">
            <v>144.43537799156084</v>
          </cell>
          <cell r="AD70">
            <v>-11.720511617541565</v>
          </cell>
          <cell r="AE70">
            <v>144.43537799156084</v>
          </cell>
          <cell r="AF70">
            <v>-11.720511617541565</v>
          </cell>
          <cell r="AQ70" t="str"/>
          <cell r="AR70" t="str">
            <v>0</v>
          </cell>
          <cell r="AS70">
            <v>0</v>
          </cell>
          <cell r="AW70">
            <v>143.15325389789197</v>
          </cell>
          <cell r="AX70">
            <v>-14.570108560717145</v>
          </cell>
          <cell r="AY70">
            <v>143.15325389789197</v>
          </cell>
          <cell r="AZ70">
            <v>-14.570108560717145</v>
          </cell>
          <cell r="BK70" t="str"/>
          <cell r="BL70" t="str">
            <v>0</v>
          </cell>
          <cell r="BM70">
            <v>0</v>
          </cell>
          <cell r="BQ70">
            <v>139.95213730770496</v>
          </cell>
          <cell r="BR70">
            <v>-19.746521655436737</v>
          </cell>
          <cell r="BS70">
            <v>139.95213730770496</v>
          </cell>
          <cell r="BT70">
            <v>-19.746521655436737</v>
          </cell>
        </row>
      </sheetData>
      <sheetData sheetId="6" refreshError="1">
        <row r="3">
          <cell r="G3" t="str">
            <v>传送动力驱动  --</v>
          </cell>
        </row>
      </sheetData>
      <sheetData sheetId="7" refreshError="1">
        <row r="3">
          <cell r="G3" t="str">
            <v>Flat</v>
          </cell>
        </row>
        <row r="5">
          <cell r="A5">
            <v>1</v>
          </cell>
          <cell r="Q5">
            <v>255.6555299617045</v>
          </cell>
          <cell r="S5">
            <v>220.73675729829148</v>
          </cell>
          <cell r="U5">
            <v>1</v>
          </cell>
        </row>
        <row r="6">
          <cell r="A6">
            <v>2</v>
          </cell>
          <cell r="Q6">
            <v>212.54176060247548</v>
          </cell>
          <cell r="S6">
            <v>85.094500249980172</v>
          </cell>
          <cell r="U6">
            <v>2.5454545454545454</v>
          </cell>
        </row>
        <row r="7">
          <cell r="A7">
            <v>3</v>
          </cell>
          <cell r="Q7">
            <v>118.68605183424039</v>
          </cell>
          <cell r="S7">
            <v>187.40249127104539</v>
          </cell>
          <cell r="U7">
            <v>1.75</v>
          </cell>
        </row>
        <row r="8">
          <cell r="A8">
            <v>4</v>
          </cell>
          <cell r="Q8">
            <v>108.05646163002004</v>
          </cell>
          <cell r="S8">
            <v>133.23374881931704</v>
          </cell>
          <cell r="U8">
            <v>2.7071823204419889</v>
          </cell>
        </row>
        <row r="9">
          <cell r="A9">
            <v>5</v>
          </cell>
          <cell r="Q9">
            <v>0</v>
          </cell>
          <cell r="S9">
            <v>0</v>
          </cell>
          <cell r="U9" t="str">
            <v> </v>
          </cell>
        </row>
        <row r="10">
          <cell r="A10">
            <v>6</v>
          </cell>
          <cell r="Q10">
            <v>0</v>
          </cell>
          <cell r="S10">
            <v>0</v>
          </cell>
          <cell r="U10" t="str">
            <v> </v>
          </cell>
        </row>
        <row r="11">
          <cell r="A11">
            <v>7</v>
          </cell>
          <cell r="Q11">
            <v>0</v>
          </cell>
          <cell r="S11">
            <v>0</v>
          </cell>
          <cell r="U11" t="str">
            <v> </v>
          </cell>
        </row>
        <row r="12">
          <cell r="A12">
            <v>8</v>
          </cell>
          <cell r="Q12">
            <v>0</v>
          </cell>
          <cell r="S12">
            <v>0</v>
          </cell>
          <cell r="U12" t="str">
            <v> </v>
          </cell>
        </row>
        <row r="13">
          <cell r="A13">
            <v>9</v>
          </cell>
          <cell r="Q13">
            <v>0</v>
          </cell>
          <cell r="S13">
            <v>0</v>
          </cell>
          <cell r="U13" t="str">
            <v> </v>
          </cell>
        </row>
        <row r="14">
          <cell r="A14">
            <v>10</v>
          </cell>
          <cell r="Q14">
            <v>0</v>
          </cell>
          <cell r="S14">
            <v>0</v>
          </cell>
          <cell r="U14" t="str">
            <v> </v>
          </cell>
        </row>
        <row r="16">
          <cell r="K16">
            <v>1391.3410641307375</v>
          </cell>
        </row>
        <row r="17">
          <cell r="Z17" t="str">
            <v>Fdirection</v>
          </cell>
        </row>
        <row r="18">
          <cell r="B18" t="str">
            <v>CRK</v>
          </cell>
        </row>
        <row r="19">
          <cell r="B19" t="str">
            <v>ALT</v>
          </cell>
        </row>
        <row r="20">
          <cell r="B20" t="str">
            <v>AC</v>
          </cell>
        </row>
        <row r="21">
          <cell r="B21" t="str">
            <v>TEN</v>
          </cell>
        </row>
        <row r="22">
          <cell r="B22" t="str">
            <v>NA</v>
          </cell>
        </row>
        <row r="23">
          <cell r="B23" t="str">
            <v>NA</v>
          </cell>
        </row>
        <row r="24">
          <cell r="B24" t="str">
            <v>NA</v>
          </cell>
        </row>
        <row r="25">
          <cell r="B25" t="str">
            <v>NA</v>
          </cell>
        </row>
        <row r="26">
          <cell r="B26" t="str">
            <v>NA</v>
          </cell>
        </row>
        <row r="27">
          <cell r="B27" t="str">
            <v>NA</v>
          </cell>
        </row>
        <row r="43">
          <cell r="G43">
            <v>1367.4759931476024</v>
          </cell>
        </row>
      </sheetData>
      <sheetData sheetId="8" refreshError="1">
        <row r="3">
          <cell r="B3" t="str">
            <v>%</v>
          </cell>
          <cell r="C3" t="str">
            <v>Eng.RPM</v>
          </cell>
          <cell r="D3" t="str">
            <v>V.[km/h]</v>
          </cell>
          <cell r="E3" t="str">
            <v>T.[C]</v>
          </cell>
          <cell r="F3" t="str">
            <v>CRK</v>
          </cell>
          <cell r="G3" t="str">
            <v>ALT</v>
          </cell>
          <cell r="H3" t="str">
            <v>AC</v>
          </cell>
          <cell r="I3" t="str">
            <v>TEN</v>
          </cell>
          <cell r="J3" t="str">
            <v>NA</v>
          </cell>
          <cell r="K3" t="str">
            <v>NA</v>
          </cell>
          <cell r="L3" t="str">
            <v>NA</v>
          </cell>
          <cell r="M3" t="str">
            <v>NA</v>
          </cell>
          <cell r="N3" t="str">
            <v>NA</v>
          </cell>
          <cell r="O3" t="str">
            <v>NA</v>
          </cell>
          <cell r="T3" t="str">
            <v>V.[m/s]</v>
          </cell>
          <cell r="U3" t="str">
            <v>CRK</v>
          </cell>
          <cell r="V3" t="str">
            <v>ALT</v>
          </cell>
          <cell r="W3" t="str">
            <v>AC</v>
          </cell>
          <cell r="X3" t="str">
            <v>TEN</v>
          </cell>
          <cell r="Y3" t="str">
            <v>NA</v>
          </cell>
          <cell r="Z3" t="str">
            <v>NA</v>
          </cell>
          <cell r="AA3" t="str">
            <v>NA</v>
          </cell>
          <cell r="AB3" t="str">
            <v>NA</v>
          </cell>
          <cell r="AC3" t="str">
            <v>NA</v>
          </cell>
          <cell r="AD3" t="str">
            <v>NA</v>
          </cell>
          <cell r="AI3" t="str">
            <v>CRK</v>
          </cell>
          <cell r="AJ3" t="str">
            <v>ALT</v>
          </cell>
          <cell r="AK3" t="str">
            <v>AC</v>
          </cell>
          <cell r="AL3" t="str">
            <v>TEN</v>
          </cell>
          <cell r="AM3" t="str">
            <v>NA</v>
          </cell>
          <cell r="AN3" t="str">
            <v>NA</v>
          </cell>
          <cell r="AO3" t="str">
            <v>NA</v>
          </cell>
          <cell r="AP3" t="str">
            <v>NA</v>
          </cell>
          <cell r="AQ3" t="str">
            <v>NA</v>
          </cell>
          <cell r="AR3" t="str">
            <v>NA</v>
          </cell>
        </row>
        <row r="4">
          <cell r="B4">
            <v>5</v>
          </cell>
          <cell r="C4">
            <v>700</v>
          </cell>
          <cell r="D4">
            <v>10</v>
          </cell>
          <cell r="E4">
            <v>80</v>
          </cell>
          <cell r="G4">
            <v>0</v>
          </cell>
          <cell r="H4">
            <v>10.9155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S4">
            <v>700</v>
          </cell>
          <cell r="T4">
            <v>7.1837752012086593</v>
          </cell>
          <cell r="U4">
            <v>2179.8713650020877</v>
          </cell>
          <cell r="V4">
            <v>2556.8434938844885</v>
          </cell>
          <cell r="W4">
            <v>2259.1525933663243</v>
          </cell>
          <cell r="X4">
            <v>681.31220301555038</v>
          </cell>
          <cell r="Y4" t="str">
            <v> </v>
          </cell>
          <cell r="Z4" t="str">
            <v> </v>
          </cell>
          <cell r="AA4" t="str">
            <v> </v>
          </cell>
          <cell r="AB4" t="str">
            <v> </v>
          </cell>
          <cell r="AC4" t="str">
            <v> </v>
          </cell>
          <cell r="AD4" t="str">
            <v> </v>
          </cell>
          <cell r="AH4">
            <v>700</v>
          </cell>
          <cell r="AI4">
            <v>1890.6027061180746</v>
          </cell>
          <cell r="AJ4">
            <v>1890.6027061180746</v>
          </cell>
          <cell r="AK4">
            <v>371.13700817091677</v>
          </cell>
          <cell r="AL4">
            <v>371.13700817091677</v>
          </cell>
          <cell r="AM4" t="str">
            <v> </v>
          </cell>
          <cell r="AN4" t="str">
            <v> </v>
          </cell>
          <cell r="AO4" t="str">
            <v> </v>
          </cell>
          <cell r="AP4" t="str">
            <v> </v>
          </cell>
          <cell r="AQ4" t="str">
            <v> </v>
          </cell>
          <cell r="AR4" t="str">
            <v> </v>
          </cell>
        </row>
        <row r="5">
          <cell r="B5">
            <v>10</v>
          </cell>
          <cell r="C5">
            <v>1100</v>
          </cell>
          <cell r="D5">
            <v>20</v>
          </cell>
          <cell r="E5">
            <v>80</v>
          </cell>
          <cell r="G5">
            <v>0</v>
          </cell>
          <cell r="H5">
            <v>19.227999999999998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S5">
            <v>1100</v>
          </cell>
          <cell r="T5">
            <v>11.288789601899323</v>
          </cell>
          <cell r="U5">
            <v>2362.5761351841229</v>
          </cell>
          <cell r="V5">
            <v>2805.436864031366</v>
          </cell>
          <cell r="W5">
            <v>2442.9315117689143</v>
          </cell>
          <cell r="X5">
            <v>681.31220301555038</v>
          </cell>
          <cell r="Y5" t="str">
            <v> </v>
          </cell>
          <cell r="Z5" t="str">
            <v> </v>
          </cell>
          <cell r="AA5" t="str">
            <v> </v>
          </cell>
          <cell r="AB5" t="str">
            <v> </v>
          </cell>
          <cell r="AC5" t="str">
            <v> </v>
          </cell>
          <cell r="AD5" t="str">
            <v> </v>
          </cell>
          <cell r="AH5">
            <v>1100</v>
          </cell>
          <cell r="AI5">
            <v>2074.4197052605068</v>
          </cell>
          <cell r="AJ5">
            <v>2074.4197052605068</v>
          </cell>
          <cell r="AK5">
            <v>371.13700817091677</v>
          </cell>
          <cell r="AL5">
            <v>371.13700817091677</v>
          </cell>
          <cell r="AM5" t="str">
            <v> </v>
          </cell>
          <cell r="AN5" t="str">
            <v> </v>
          </cell>
          <cell r="AO5" t="str">
            <v> </v>
          </cell>
          <cell r="AP5" t="str">
            <v> </v>
          </cell>
          <cell r="AQ5" t="str">
            <v> </v>
          </cell>
          <cell r="AR5" t="str">
            <v> </v>
          </cell>
        </row>
        <row r="6">
          <cell r="B6">
            <v>20</v>
          </cell>
          <cell r="C6">
            <v>1300</v>
          </cell>
          <cell r="D6">
            <v>40</v>
          </cell>
          <cell r="E6">
            <v>80</v>
          </cell>
          <cell r="G6">
            <v>0</v>
          </cell>
          <cell r="H6">
            <v>21.716999999999999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S6">
            <v>1300</v>
          </cell>
          <cell r="T6">
            <v>13.341296802244653</v>
          </cell>
          <cell r="U6">
            <v>2287.5313615977407</v>
          </cell>
          <cell r="V6">
            <v>2703.3581254320397</v>
          </cell>
          <cell r="W6">
            <v>2367.4665143518587</v>
          </cell>
          <cell r="X6">
            <v>681.31220301555038</v>
          </cell>
          <cell r="Y6" t="str">
            <v> </v>
          </cell>
          <cell r="Z6" t="str">
            <v> </v>
          </cell>
          <cell r="AA6" t="str">
            <v> </v>
          </cell>
          <cell r="AB6" t="str">
            <v> </v>
          </cell>
          <cell r="AC6" t="str">
            <v> </v>
          </cell>
          <cell r="AD6" t="str">
            <v> </v>
          </cell>
          <cell r="AH6">
            <v>1300</v>
          </cell>
          <cell r="AI6">
            <v>1998.939786409547</v>
          </cell>
          <cell r="AJ6">
            <v>1998.939786409547</v>
          </cell>
          <cell r="AK6">
            <v>371.13700817091677</v>
          </cell>
          <cell r="AL6">
            <v>371.13700817091677</v>
          </cell>
          <cell r="AM6" t="str">
            <v> </v>
          </cell>
          <cell r="AN6" t="str">
            <v> </v>
          </cell>
          <cell r="AO6" t="str">
            <v> </v>
          </cell>
          <cell r="AP6" t="str">
            <v> </v>
          </cell>
          <cell r="AQ6" t="str">
            <v> </v>
          </cell>
          <cell r="AR6" t="str">
            <v> </v>
          </cell>
        </row>
        <row r="7">
          <cell r="B7">
            <v>20</v>
          </cell>
          <cell r="C7">
            <v>1400</v>
          </cell>
          <cell r="D7">
            <v>60</v>
          </cell>
          <cell r="E7">
            <v>80</v>
          </cell>
          <cell r="G7">
            <v>0</v>
          </cell>
          <cell r="H7">
            <v>23.208499999999997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S7">
            <v>1400</v>
          </cell>
          <cell r="T7">
            <v>14.367550402417319</v>
          </cell>
          <cell r="U7">
            <v>2275.1446630919381</v>
          </cell>
          <cell r="V7">
            <v>2686.5055034934712</v>
          </cell>
          <cell r="W7">
            <v>2355.0077624200612</v>
          </cell>
          <cell r="X7">
            <v>681.31220301555038</v>
          </cell>
          <cell r="Y7" t="str">
            <v> </v>
          </cell>
          <cell r="Z7" t="str">
            <v> </v>
          </cell>
          <cell r="AA7" t="str">
            <v> </v>
          </cell>
          <cell r="AB7" t="str">
            <v> </v>
          </cell>
          <cell r="AC7" t="str">
            <v> </v>
          </cell>
          <cell r="AD7" t="str">
            <v> </v>
          </cell>
          <cell r="AH7">
            <v>1400</v>
          </cell>
          <cell r="AI7">
            <v>1986.4784790520769</v>
          </cell>
          <cell r="AJ7">
            <v>1986.4784790520769</v>
          </cell>
          <cell r="AK7">
            <v>371.13700817091677</v>
          </cell>
          <cell r="AL7">
            <v>371.13700817091677</v>
          </cell>
          <cell r="AM7" t="str">
            <v> </v>
          </cell>
          <cell r="AN7" t="str">
            <v> </v>
          </cell>
          <cell r="AO7" t="str">
            <v> </v>
          </cell>
          <cell r="AP7" t="str">
            <v> </v>
          </cell>
          <cell r="AQ7" t="str">
            <v> </v>
          </cell>
          <cell r="AR7" t="str">
            <v> </v>
          </cell>
        </row>
        <row r="8">
          <cell r="B8">
            <v>40</v>
          </cell>
          <cell r="C8">
            <v>1900</v>
          </cell>
          <cell r="D8">
            <v>80</v>
          </cell>
          <cell r="E8">
            <v>80</v>
          </cell>
          <cell r="G8">
            <v>0</v>
          </cell>
          <cell r="H8">
            <v>33.705999999999996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S8">
            <v>1900</v>
          </cell>
          <cell r="T8">
            <v>19.498818403280648</v>
          </cell>
          <cell r="U8">
            <v>2387.7710959091373</v>
          </cell>
          <cell r="V8">
            <v>2839.6996382583493</v>
          </cell>
          <cell r="W8">
            <v>2468.2615764196953</v>
          </cell>
          <cell r="X8">
            <v>681.31220301555038</v>
          </cell>
          <cell r="Y8" t="str">
            <v> </v>
          </cell>
          <cell r="Z8" t="str">
            <v> </v>
          </cell>
          <cell r="AA8" t="str">
            <v> </v>
          </cell>
          <cell r="AB8" t="str">
            <v> </v>
          </cell>
          <cell r="AC8" t="str">
            <v> </v>
          </cell>
          <cell r="AD8" t="str">
            <v> </v>
          </cell>
          <cell r="AH8">
            <v>1900</v>
          </cell>
          <cell r="AI8">
            <v>2099.7545737526862</v>
          </cell>
          <cell r="AJ8">
            <v>2099.7545737526862</v>
          </cell>
          <cell r="AK8">
            <v>371.13700817091677</v>
          </cell>
          <cell r="AL8">
            <v>371.13700817091677</v>
          </cell>
          <cell r="AM8" t="str">
            <v> </v>
          </cell>
          <cell r="AN8" t="str">
            <v> </v>
          </cell>
          <cell r="AO8" t="str">
            <v> </v>
          </cell>
          <cell r="AP8" t="str">
            <v> </v>
          </cell>
          <cell r="AQ8" t="str">
            <v> </v>
          </cell>
          <cell r="AR8" t="str">
            <v> </v>
          </cell>
        </row>
        <row r="9">
          <cell r="B9">
            <v>4.9000000000000004</v>
          </cell>
          <cell r="C9">
            <v>2400</v>
          </cell>
          <cell r="D9">
            <v>80</v>
          </cell>
          <cell r="E9">
            <v>80</v>
          </cell>
          <cell r="G9">
            <v>0</v>
          </cell>
          <cell r="H9">
            <v>50.482999999999997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S9">
            <v>2400</v>
          </cell>
          <cell r="T9">
            <v>24.630086404143977</v>
          </cell>
          <cell r="U9">
            <v>2707.2545939851861</v>
          </cell>
          <cell r="V9">
            <v>3273.8595033428992</v>
          </cell>
          <cell r="W9">
            <v>2789.2383994439615</v>
          </cell>
          <cell r="X9">
            <v>681.31220301555038</v>
          </cell>
          <cell r="Y9" t="str">
            <v> </v>
          </cell>
          <cell r="Z9" t="str">
            <v> </v>
          </cell>
          <cell r="AA9" t="str">
            <v> </v>
          </cell>
          <cell r="AB9" t="str">
            <v> </v>
          </cell>
          <cell r="AC9" t="str">
            <v> </v>
          </cell>
          <cell r="AD9" t="str">
            <v> </v>
          </cell>
          <cell r="AH9">
            <v>2400</v>
          </cell>
          <cell r="AI9">
            <v>2420.7847102393234</v>
          </cell>
          <cell r="AJ9">
            <v>2420.7847102393234</v>
          </cell>
          <cell r="AK9">
            <v>371.13700817091677</v>
          </cell>
          <cell r="AL9">
            <v>371.13700817091677</v>
          </cell>
          <cell r="AM9" t="str">
            <v> </v>
          </cell>
          <cell r="AN9" t="str">
            <v> </v>
          </cell>
          <cell r="AO9" t="str">
            <v> </v>
          </cell>
          <cell r="AP9" t="str">
            <v> </v>
          </cell>
          <cell r="AQ9" t="str">
            <v> </v>
          </cell>
          <cell r="AR9" t="str">
            <v> </v>
          </cell>
        </row>
        <row r="10">
          <cell r="B10">
            <v>0.01</v>
          </cell>
          <cell r="C10">
            <v>2400</v>
          </cell>
          <cell r="D10">
            <v>100</v>
          </cell>
          <cell r="E10">
            <v>80</v>
          </cell>
          <cell r="G10">
            <v>0</v>
          </cell>
          <cell r="H10">
            <v>50.482999999999997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S10">
            <v>2400</v>
          </cell>
          <cell r="T10">
            <v>24.630086404143977</v>
          </cell>
          <cell r="U10">
            <v>2707.2545939851861</v>
          </cell>
          <cell r="V10">
            <v>3273.8595033428992</v>
          </cell>
          <cell r="W10">
            <v>2789.2383994439615</v>
          </cell>
          <cell r="X10">
            <v>681.31220301555038</v>
          </cell>
          <cell r="Y10" t="str">
            <v> </v>
          </cell>
          <cell r="Z10" t="str">
            <v> </v>
          </cell>
          <cell r="AA10" t="str">
            <v> </v>
          </cell>
          <cell r="AB10" t="str">
            <v> </v>
          </cell>
          <cell r="AC10" t="str">
            <v> </v>
          </cell>
          <cell r="AD10" t="str">
            <v> </v>
          </cell>
          <cell r="AH10">
            <v>2400</v>
          </cell>
          <cell r="AI10">
            <v>2420.7847102393234</v>
          </cell>
          <cell r="AJ10">
            <v>2420.7847102393234</v>
          </cell>
          <cell r="AK10">
            <v>371.13700817091677</v>
          </cell>
          <cell r="AL10">
            <v>371.13700817091677</v>
          </cell>
          <cell r="AM10" t="str">
            <v> </v>
          </cell>
          <cell r="AN10" t="str">
            <v> </v>
          </cell>
          <cell r="AO10" t="str">
            <v> </v>
          </cell>
          <cell r="AP10" t="str">
            <v> </v>
          </cell>
          <cell r="AQ10" t="str">
            <v> </v>
          </cell>
          <cell r="AR10" t="str">
            <v> </v>
          </cell>
        </row>
        <row r="11">
          <cell r="B11">
            <v>0.01</v>
          </cell>
          <cell r="C11">
            <v>2400</v>
          </cell>
          <cell r="D11">
            <v>100</v>
          </cell>
          <cell r="E11">
            <v>80</v>
          </cell>
          <cell r="G11">
            <v>0</v>
          </cell>
          <cell r="H11">
            <v>50.482999999999997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S11">
            <v>2400</v>
          </cell>
          <cell r="T11">
            <v>24.630086404143977</v>
          </cell>
          <cell r="U11">
            <v>2707.2545939851861</v>
          </cell>
          <cell r="V11">
            <v>3273.8595033428992</v>
          </cell>
          <cell r="W11">
            <v>2789.2383994439615</v>
          </cell>
          <cell r="X11">
            <v>681.31220301555038</v>
          </cell>
          <cell r="Y11" t="str">
            <v> </v>
          </cell>
          <cell r="Z11" t="str">
            <v> </v>
          </cell>
          <cell r="AA11" t="str">
            <v> </v>
          </cell>
          <cell r="AB11" t="str">
            <v> </v>
          </cell>
          <cell r="AC11" t="str">
            <v> </v>
          </cell>
          <cell r="AD11" t="str">
            <v> </v>
          </cell>
          <cell r="AH11">
            <v>2400</v>
          </cell>
          <cell r="AI11">
            <v>2420.7847102393234</v>
          </cell>
          <cell r="AJ11">
            <v>2420.7847102393234</v>
          </cell>
          <cell r="AK11">
            <v>371.13700817091677</v>
          </cell>
          <cell r="AL11">
            <v>371.13700817091677</v>
          </cell>
          <cell r="AM11" t="str">
            <v> </v>
          </cell>
          <cell r="AN11" t="str">
            <v> </v>
          </cell>
          <cell r="AO11" t="str">
            <v> </v>
          </cell>
          <cell r="AP11" t="str">
            <v> </v>
          </cell>
          <cell r="AQ11" t="str">
            <v> </v>
          </cell>
          <cell r="AR11" t="str">
            <v> </v>
          </cell>
        </row>
        <row r="12">
          <cell r="B12">
            <v>0.01</v>
          </cell>
          <cell r="C12">
            <v>2400</v>
          </cell>
          <cell r="D12">
            <v>100</v>
          </cell>
          <cell r="E12">
            <v>80</v>
          </cell>
          <cell r="G12">
            <v>0</v>
          </cell>
          <cell r="H12">
            <v>50.482999999999997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S12">
            <v>2400</v>
          </cell>
          <cell r="T12">
            <v>24.630086404143977</v>
          </cell>
          <cell r="U12">
            <v>2707.2545939851861</v>
          </cell>
          <cell r="V12">
            <v>3273.8595033428992</v>
          </cell>
          <cell r="W12">
            <v>2789.2383994439615</v>
          </cell>
          <cell r="X12">
            <v>681.31220301555038</v>
          </cell>
          <cell r="Y12" t="str">
            <v> </v>
          </cell>
          <cell r="Z12" t="str">
            <v> </v>
          </cell>
          <cell r="AA12" t="str">
            <v> </v>
          </cell>
          <cell r="AB12" t="str">
            <v> </v>
          </cell>
          <cell r="AC12" t="str">
            <v> </v>
          </cell>
          <cell r="AD12" t="str">
            <v> </v>
          </cell>
          <cell r="AH12">
            <v>2400</v>
          </cell>
          <cell r="AI12">
            <v>2420.7847102393234</v>
          </cell>
          <cell r="AJ12">
            <v>2420.7847102393234</v>
          </cell>
          <cell r="AK12">
            <v>371.13700817091677</v>
          </cell>
          <cell r="AL12">
            <v>371.13700817091677</v>
          </cell>
          <cell r="AM12" t="str">
            <v> </v>
          </cell>
          <cell r="AN12" t="str">
            <v> </v>
          </cell>
          <cell r="AO12" t="str">
            <v> </v>
          </cell>
          <cell r="AP12" t="str">
            <v> </v>
          </cell>
          <cell r="AQ12" t="str">
            <v> </v>
          </cell>
          <cell r="AR12" t="str">
            <v> </v>
          </cell>
        </row>
        <row r="13">
          <cell r="B13">
            <v>0.01</v>
          </cell>
          <cell r="C13">
            <v>2400</v>
          </cell>
          <cell r="D13">
            <v>100</v>
          </cell>
          <cell r="E13">
            <v>80</v>
          </cell>
          <cell r="G13">
            <v>0</v>
          </cell>
          <cell r="H13">
            <v>50.482999999999997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S13">
            <v>2400</v>
          </cell>
          <cell r="T13">
            <v>24.630086404143977</v>
          </cell>
          <cell r="U13">
            <v>2707.2545939851861</v>
          </cell>
          <cell r="V13">
            <v>3273.8595033428992</v>
          </cell>
          <cell r="W13">
            <v>2789.2383994439615</v>
          </cell>
          <cell r="X13">
            <v>681.31220301555038</v>
          </cell>
          <cell r="Y13" t="str">
            <v> </v>
          </cell>
          <cell r="Z13" t="str">
            <v> </v>
          </cell>
          <cell r="AA13" t="str">
            <v> </v>
          </cell>
          <cell r="AB13" t="str">
            <v> </v>
          </cell>
          <cell r="AC13" t="str">
            <v> </v>
          </cell>
          <cell r="AD13" t="str">
            <v> </v>
          </cell>
          <cell r="AH13">
            <v>2400</v>
          </cell>
          <cell r="AI13">
            <v>2420.7847102393234</v>
          </cell>
          <cell r="AJ13">
            <v>2420.7847102393234</v>
          </cell>
          <cell r="AK13">
            <v>371.13700817091677</v>
          </cell>
          <cell r="AL13">
            <v>371.13700817091677</v>
          </cell>
          <cell r="AM13" t="str">
            <v> </v>
          </cell>
          <cell r="AN13" t="str">
            <v> </v>
          </cell>
          <cell r="AO13" t="str">
            <v> </v>
          </cell>
          <cell r="AP13" t="str">
            <v> </v>
          </cell>
          <cell r="AQ13" t="str">
            <v> </v>
          </cell>
          <cell r="AR13" t="str">
            <v> </v>
          </cell>
        </row>
        <row r="14">
          <cell r="B14">
            <v>0.01</v>
          </cell>
          <cell r="C14">
            <v>2400</v>
          </cell>
          <cell r="D14">
            <v>100</v>
          </cell>
          <cell r="E14">
            <v>80</v>
          </cell>
          <cell r="G14">
            <v>0</v>
          </cell>
          <cell r="H14">
            <v>50.482999999999997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S14">
            <v>2400</v>
          </cell>
          <cell r="T14">
            <v>24.630086404143977</v>
          </cell>
          <cell r="U14">
            <v>2707.2545939851861</v>
          </cell>
          <cell r="V14">
            <v>3273.8595033428992</v>
          </cell>
          <cell r="W14">
            <v>2789.2383994439615</v>
          </cell>
          <cell r="X14">
            <v>681.31220301555038</v>
          </cell>
          <cell r="Y14" t="str">
            <v> </v>
          </cell>
          <cell r="Z14" t="str">
            <v> </v>
          </cell>
          <cell r="AA14" t="str">
            <v> </v>
          </cell>
          <cell r="AB14" t="str">
            <v> </v>
          </cell>
          <cell r="AC14" t="str">
            <v> </v>
          </cell>
          <cell r="AD14" t="str">
            <v> </v>
          </cell>
          <cell r="AH14">
            <v>2400</v>
          </cell>
          <cell r="AI14">
            <v>2420.7847102393234</v>
          </cell>
          <cell r="AJ14">
            <v>2420.7847102393234</v>
          </cell>
          <cell r="AK14">
            <v>371.13700817091677</v>
          </cell>
          <cell r="AL14">
            <v>371.13700817091677</v>
          </cell>
          <cell r="AM14" t="str">
            <v> </v>
          </cell>
          <cell r="AN14" t="str">
            <v> </v>
          </cell>
          <cell r="AO14" t="str">
            <v> </v>
          </cell>
          <cell r="AP14" t="str">
            <v> </v>
          </cell>
          <cell r="AQ14" t="str">
            <v> </v>
          </cell>
          <cell r="AR14" t="str">
            <v> </v>
          </cell>
        </row>
        <row r="15">
          <cell r="B15">
            <v>0.01</v>
          </cell>
          <cell r="C15">
            <v>2400</v>
          </cell>
          <cell r="D15">
            <v>100</v>
          </cell>
          <cell r="E15">
            <v>80</v>
          </cell>
          <cell r="G15">
            <v>0</v>
          </cell>
          <cell r="H15">
            <v>50.482999999999997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S15">
            <v>2400</v>
          </cell>
          <cell r="T15">
            <v>24.630086404143977</v>
          </cell>
          <cell r="U15">
            <v>2707.2545939851861</v>
          </cell>
          <cell r="V15">
            <v>3273.8595033428992</v>
          </cell>
          <cell r="W15">
            <v>2789.2383994439615</v>
          </cell>
          <cell r="X15">
            <v>681.31220301555038</v>
          </cell>
          <cell r="Y15" t="str">
            <v> </v>
          </cell>
          <cell r="Z15" t="str">
            <v> </v>
          </cell>
          <cell r="AA15" t="str">
            <v> </v>
          </cell>
          <cell r="AB15" t="str">
            <v> </v>
          </cell>
          <cell r="AC15" t="str">
            <v> </v>
          </cell>
          <cell r="AD15" t="str">
            <v> </v>
          </cell>
          <cell r="AH15">
            <v>2400</v>
          </cell>
          <cell r="AI15">
            <v>2420.7847102393234</v>
          </cell>
          <cell r="AJ15">
            <v>2420.7847102393234</v>
          </cell>
          <cell r="AK15">
            <v>371.13700817091677</v>
          </cell>
          <cell r="AL15">
            <v>371.13700817091677</v>
          </cell>
          <cell r="AM15" t="str">
            <v> </v>
          </cell>
          <cell r="AN15" t="str">
            <v> </v>
          </cell>
          <cell r="AO15" t="str">
            <v> </v>
          </cell>
          <cell r="AP15" t="str">
            <v> </v>
          </cell>
          <cell r="AQ15" t="str">
            <v> </v>
          </cell>
          <cell r="AR15" t="str">
            <v> </v>
          </cell>
        </row>
        <row r="16">
          <cell r="B16">
            <v>0.01</v>
          </cell>
          <cell r="C16">
            <v>2400</v>
          </cell>
          <cell r="D16">
            <v>100</v>
          </cell>
          <cell r="E16">
            <v>80</v>
          </cell>
          <cell r="G16">
            <v>0</v>
          </cell>
          <cell r="H16">
            <v>50.482999999999997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S16">
            <v>2400</v>
          </cell>
          <cell r="T16">
            <v>24.630086404143977</v>
          </cell>
          <cell r="U16">
            <v>2707.2545939851861</v>
          </cell>
          <cell r="V16">
            <v>3273.8595033428992</v>
          </cell>
          <cell r="W16">
            <v>2789.2383994439615</v>
          </cell>
          <cell r="X16">
            <v>681.31220301555038</v>
          </cell>
          <cell r="Y16" t="str">
            <v> </v>
          </cell>
          <cell r="Z16" t="str">
            <v> </v>
          </cell>
          <cell r="AA16" t="str">
            <v> </v>
          </cell>
          <cell r="AB16" t="str">
            <v> </v>
          </cell>
          <cell r="AC16" t="str">
            <v> </v>
          </cell>
          <cell r="AD16" t="str">
            <v> </v>
          </cell>
          <cell r="AH16">
            <v>2400</v>
          </cell>
          <cell r="AI16">
            <v>2420.7847102393234</v>
          </cell>
          <cell r="AJ16">
            <v>2420.7847102393234</v>
          </cell>
          <cell r="AK16">
            <v>371.13700817091677</v>
          </cell>
          <cell r="AL16">
            <v>371.13700817091677</v>
          </cell>
          <cell r="AM16" t="str">
            <v> </v>
          </cell>
          <cell r="AN16" t="str">
            <v> </v>
          </cell>
          <cell r="AO16" t="str">
            <v> </v>
          </cell>
          <cell r="AP16" t="str">
            <v> </v>
          </cell>
          <cell r="AQ16" t="str">
            <v> </v>
          </cell>
          <cell r="AR16" t="str">
            <v> </v>
          </cell>
        </row>
        <row r="17">
          <cell r="B17">
            <v>0.01</v>
          </cell>
          <cell r="C17">
            <v>2400</v>
          </cell>
          <cell r="D17">
            <v>100</v>
          </cell>
          <cell r="E17">
            <v>80</v>
          </cell>
          <cell r="G17">
            <v>0</v>
          </cell>
          <cell r="H17">
            <v>50.482999999999997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S17">
            <v>2400</v>
          </cell>
          <cell r="T17">
            <v>24.630086404143977</v>
          </cell>
          <cell r="U17">
            <v>2707.2545939851861</v>
          </cell>
          <cell r="V17">
            <v>3273.8595033428992</v>
          </cell>
          <cell r="W17">
            <v>2789.2383994439615</v>
          </cell>
          <cell r="X17">
            <v>681.31220301555038</v>
          </cell>
          <cell r="Y17" t="str">
            <v> </v>
          </cell>
          <cell r="Z17" t="str">
            <v> </v>
          </cell>
          <cell r="AA17" t="str">
            <v> </v>
          </cell>
          <cell r="AB17" t="str">
            <v> </v>
          </cell>
          <cell r="AC17" t="str">
            <v> </v>
          </cell>
          <cell r="AD17" t="str">
            <v> </v>
          </cell>
          <cell r="AH17">
            <v>2400</v>
          </cell>
          <cell r="AI17">
            <v>2420.7847102393234</v>
          </cell>
          <cell r="AJ17">
            <v>2420.7847102393234</v>
          </cell>
          <cell r="AK17">
            <v>371.13700817091677</v>
          </cell>
          <cell r="AL17">
            <v>371.13700817091677</v>
          </cell>
          <cell r="AM17" t="str">
            <v> </v>
          </cell>
          <cell r="AN17" t="str">
            <v> </v>
          </cell>
          <cell r="AO17" t="str">
            <v> </v>
          </cell>
          <cell r="AP17" t="str">
            <v> </v>
          </cell>
          <cell r="AQ17" t="str">
            <v> </v>
          </cell>
          <cell r="AR17" t="str">
            <v> </v>
          </cell>
        </row>
        <row r="18">
          <cell r="B18">
            <v>0.01</v>
          </cell>
          <cell r="C18">
            <v>2400</v>
          </cell>
          <cell r="D18">
            <v>100</v>
          </cell>
          <cell r="E18">
            <v>80</v>
          </cell>
          <cell r="G18">
            <v>0</v>
          </cell>
          <cell r="H18">
            <v>50.482999999999997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S18">
            <v>2400</v>
          </cell>
          <cell r="T18">
            <v>24.630086404143977</v>
          </cell>
          <cell r="U18">
            <v>2707.2545939851861</v>
          </cell>
          <cell r="V18">
            <v>3273.8595033428992</v>
          </cell>
          <cell r="W18">
            <v>2789.2383994439615</v>
          </cell>
          <cell r="X18">
            <v>681.31220301555038</v>
          </cell>
          <cell r="Y18" t="str">
            <v> </v>
          </cell>
          <cell r="Z18" t="str">
            <v> </v>
          </cell>
          <cell r="AA18" t="str">
            <v> </v>
          </cell>
          <cell r="AB18" t="str">
            <v> </v>
          </cell>
          <cell r="AC18" t="str">
            <v> </v>
          </cell>
          <cell r="AD18" t="str">
            <v> </v>
          </cell>
          <cell r="AH18">
            <v>2400</v>
          </cell>
          <cell r="AI18">
            <v>2420.7847102393234</v>
          </cell>
          <cell r="AJ18">
            <v>2420.7847102393234</v>
          </cell>
          <cell r="AK18">
            <v>371.13700817091677</v>
          </cell>
          <cell r="AL18">
            <v>371.13700817091677</v>
          </cell>
          <cell r="AM18" t="str">
            <v> </v>
          </cell>
          <cell r="AN18" t="str">
            <v> </v>
          </cell>
          <cell r="AO18" t="str">
            <v> </v>
          </cell>
          <cell r="AP18" t="str">
            <v> </v>
          </cell>
          <cell r="AQ18" t="str">
            <v> </v>
          </cell>
          <cell r="AR18" t="str">
            <v> </v>
          </cell>
        </row>
        <row r="19">
          <cell r="B19">
            <v>5.0000000000000001E-3</v>
          </cell>
          <cell r="C19">
            <v>2400</v>
          </cell>
          <cell r="D19">
            <v>100</v>
          </cell>
          <cell r="E19">
            <v>80</v>
          </cell>
          <cell r="G19">
            <v>0</v>
          </cell>
          <cell r="H19">
            <v>50.482999999999997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S19">
            <v>2400</v>
          </cell>
          <cell r="T19">
            <v>24.630086404143977</v>
          </cell>
          <cell r="U19">
            <v>2707.2545939851861</v>
          </cell>
          <cell r="V19">
            <v>3273.8595033428992</v>
          </cell>
          <cell r="W19">
            <v>2789.2383994439615</v>
          </cell>
          <cell r="X19">
            <v>681.31220301555038</v>
          </cell>
          <cell r="Y19" t="str">
            <v> </v>
          </cell>
          <cell r="Z19" t="str">
            <v> </v>
          </cell>
          <cell r="AA19" t="str">
            <v> </v>
          </cell>
          <cell r="AB19" t="str">
            <v> </v>
          </cell>
          <cell r="AC19" t="str">
            <v> </v>
          </cell>
          <cell r="AD19" t="str">
            <v> </v>
          </cell>
          <cell r="AH19">
            <v>2400</v>
          </cell>
          <cell r="AI19">
            <v>2420.7847102393234</v>
          </cell>
          <cell r="AJ19">
            <v>2420.7847102393234</v>
          </cell>
          <cell r="AK19">
            <v>371.13700817091677</v>
          </cell>
          <cell r="AL19">
            <v>371.13700817091677</v>
          </cell>
          <cell r="AM19" t="str">
            <v> </v>
          </cell>
          <cell r="AN19" t="str">
            <v> </v>
          </cell>
          <cell r="AO19" t="str">
            <v> </v>
          </cell>
          <cell r="AP19" t="str">
            <v> </v>
          </cell>
          <cell r="AQ19" t="str">
            <v> </v>
          </cell>
          <cell r="AR19" t="str">
            <v> </v>
          </cell>
        </row>
        <row r="20">
          <cell r="B20">
            <v>5.0000000000000001E-3</v>
          </cell>
          <cell r="C20">
            <v>2400</v>
          </cell>
          <cell r="D20">
            <v>100</v>
          </cell>
          <cell r="E20">
            <v>80</v>
          </cell>
          <cell r="G20">
            <v>0</v>
          </cell>
          <cell r="H20">
            <v>50.482999999999997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S20">
            <v>2400</v>
          </cell>
          <cell r="T20">
            <v>24.630086404143977</v>
          </cell>
          <cell r="U20">
            <v>2707.2545939851861</v>
          </cell>
          <cell r="V20">
            <v>3273.8595033428992</v>
          </cell>
          <cell r="W20">
            <v>2789.2383994439615</v>
          </cell>
          <cell r="X20">
            <v>681.31220301555038</v>
          </cell>
          <cell r="Y20" t="str">
            <v> </v>
          </cell>
          <cell r="Z20" t="str">
            <v> </v>
          </cell>
          <cell r="AA20" t="str">
            <v> </v>
          </cell>
          <cell r="AB20" t="str">
            <v> </v>
          </cell>
          <cell r="AC20" t="str">
            <v> </v>
          </cell>
          <cell r="AD20" t="str">
            <v> </v>
          </cell>
          <cell r="AH20">
            <v>2400</v>
          </cell>
          <cell r="AI20">
            <v>2420.7847102393234</v>
          </cell>
          <cell r="AJ20">
            <v>2420.7847102393234</v>
          </cell>
          <cell r="AK20">
            <v>371.13700817091677</v>
          </cell>
          <cell r="AL20">
            <v>371.13700817091677</v>
          </cell>
          <cell r="AM20" t="str">
            <v> </v>
          </cell>
          <cell r="AN20" t="str">
            <v> </v>
          </cell>
          <cell r="AO20" t="str">
            <v> </v>
          </cell>
          <cell r="AP20" t="str">
            <v> </v>
          </cell>
          <cell r="AQ20" t="str">
            <v> </v>
          </cell>
          <cell r="AR20" t="str">
            <v> </v>
          </cell>
        </row>
        <row r="53">
          <cell r="S53" t="str">
            <v>Eng.RPM</v>
          </cell>
          <cell r="AI53" t="str">
            <v>CRK</v>
          </cell>
          <cell r="AJ53" t="str">
            <v>ALT</v>
          </cell>
          <cell r="AK53" t="str">
            <v>AC</v>
          </cell>
          <cell r="AL53" t="str">
            <v>TEN</v>
          </cell>
          <cell r="AM53" t="str">
            <v>NA</v>
          </cell>
          <cell r="AN53" t="str">
            <v>NA</v>
          </cell>
          <cell r="AO53" t="str">
            <v>NA</v>
          </cell>
          <cell r="AP53" t="str">
            <v>NA</v>
          </cell>
        </row>
        <row r="54">
          <cell r="U54">
            <v>2290.5175190272753</v>
          </cell>
          <cell r="V54">
            <v>2707.4207529158157</v>
          </cell>
          <cell r="W54">
            <v>2481.1795386036379</v>
          </cell>
          <cell r="X54">
            <v>784.7541363168076</v>
          </cell>
          <cell r="Y54" t="str">
            <v> </v>
          </cell>
          <cell r="Z54" t="str">
            <v> </v>
          </cell>
          <cell r="AA54" t="str">
            <v> </v>
          </cell>
          <cell r="AB54" t="str">
            <v> </v>
          </cell>
          <cell r="AH54">
            <v>700</v>
          </cell>
          <cell r="AO54" t="str">
            <v> </v>
          </cell>
          <cell r="AP54" t="str">
            <v> </v>
          </cell>
        </row>
        <row r="55">
          <cell r="U55">
            <v>2473.32369620799</v>
          </cell>
          <cell r="V55">
            <v>2956.0141230626928</v>
          </cell>
          <cell r="W55">
            <v>2664.9428195552391</v>
          </cell>
          <cell r="X55">
            <v>784.7541363168076</v>
          </cell>
          <cell r="Y55" t="str">
            <v> </v>
          </cell>
          <cell r="Z55" t="str">
            <v> </v>
          </cell>
          <cell r="AA55" t="str">
            <v> </v>
          </cell>
          <cell r="AB55" t="str">
            <v> </v>
          </cell>
          <cell r="AH55">
            <v>1100</v>
          </cell>
          <cell r="AO55" t="str">
            <v> </v>
          </cell>
          <cell r="AP55" t="str">
            <v> </v>
          </cell>
        </row>
        <row r="56">
          <cell r="U56">
            <v>2398.2401479459941</v>
          </cell>
          <cell r="V56">
            <v>2853.935384463367</v>
          </cell>
          <cell r="W56">
            <v>2589.4840360401854</v>
          </cell>
          <cell r="X56">
            <v>784.7541363168076</v>
          </cell>
          <cell r="Y56" t="str">
            <v> </v>
          </cell>
          <cell r="Z56" t="str">
            <v> </v>
          </cell>
          <cell r="AA56" t="str">
            <v> </v>
          </cell>
          <cell r="AB56" t="str">
            <v> </v>
          </cell>
          <cell r="AH56">
            <v>1300</v>
          </cell>
        </row>
        <row r="57">
          <cell r="U57">
            <v>2385.8466848320763</v>
          </cell>
          <cell r="V57">
            <v>2837.082762524798</v>
          </cell>
          <cell r="W57">
            <v>2577.0263370638377</v>
          </cell>
          <cell r="X57">
            <v>784.7541363168076</v>
          </cell>
          <cell r="Y57" t="str">
            <v> </v>
          </cell>
          <cell r="Z57" t="str">
            <v> </v>
          </cell>
          <cell r="AA57" t="str">
            <v> </v>
          </cell>
          <cell r="AB57" t="str">
            <v> </v>
          </cell>
          <cell r="AH57">
            <v>1400</v>
          </cell>
        </row>
        <row r="58">
          <cell r="U58">
            <v>2498.5308768390846</v>
          </cell>
          <cell r="V58">
            <v>2990.2768972896761</v>
          </cell>
          <cell r="W58">
            <v>2690.2708597678943</v>
          </cell>
          <cell r="X58">
            <v>784.7541363168076</v>
          </cell>
          <cell r="Y58" t="str">
            <v> </v>
          </cell>
          <cell r="Z58" t="str">
            <v> </v>
          </cell>
          <cell r="AA58" t="str">
            <v> </v>
          </cell>
          <cell r="AB58" t="str">
            <v> </v>
          </cell>
          <cell r="AH58">
            <v>1900</v>
          </cell>
        </row>
        <row r="59">
          <cell r="U59">
            <v>2818.1413859751729</v>
          </cell>
          <cell r="V59">
            <v>3424.436762374226</v>
          </cell>
          <cell r="W59">
            <v>3011.2244229952512</v>
          </cell>
          <cell r="X59">
            <v>784.7541363168076</v>
          </cell>
          <cell r="Y59" t="str">
            <v> </v>
          </cell>
          <cell r="Z59" t="str">
            <v> </v>
          </cell>
          <cell r="AA59" t="str">
            <v> </v>
          </cell>
          <cell r="AB59" t="str">
            <v> </v>
          </cell>
          <cell r="AH59">
            <v>2400</v>
          </cell>
        </row>
        <row r="60">
          <cell r="U60">
            <v>2818.1413859751729</v>
          </cell>
          <cell r="V60">
            <v>3424.436762374226</v>
          </cell>
          <cell r="W60">
            <v>3011.2244229952512</v>
          </cell>
          <cell r="X60">
            <v>784.7541363168076</v>
          </cell>
          <cell r="Y60" t="str">
            <v> </v>
          </cell>
          <cell r="Z60" t="str">
            <v> </v>
          </cell>
          <cell r="AA60" t="str">
            <v> </v>
          </cell>
          <cell r="AB60" t="str">
            <v> </v>
          </cell>
          <cell r="AH60">
            <v>2400</v>
          </cell>
        </row>
        <row r="61">
          <cell r="U61">
            <v>2818.1413859751729</v>
          </cell>
          <cell r="V61">
            <v>3424.436762374226</v>
          </cell>
          <cell r="W61">
            <v>3011.2244229952512</v>
          </cell>
          <cell r="X61">
            <v>784.7541363168076</v>
          </cell>
          <cell r="Y61" t="str">
            <v> </v>
          </cell>
          <cell r="Z61" t="str">
            <v> </v>
          </cell>
          <cell r="AA61" t="str">
            <v> </v>
          </cell>
          <cell r="AB61" t="str">
            <v> </v>
          </cell>
          <cell r="AH61">
            <v>2400</v>
          </cell>
        </row>
        <row r="62">
          <cell r="U62">
            <v>2818.1413859751729</v>
          </cell>
          <cell r="V62">
            <v>3424.436762374226</v>
          </cell>
          <cell r="W62">
            <v>3011.2244229952512</v>
          </cell>
          <cell r="X62">
            <v>784.7541363168076</v>
          </cell>
          <cell r="Y62" t="str">
            <v> </v>
          </cell>
          <cell r="Z62" t="str">
            <v> </v>
          </cell>
          <cell r="AA62" t="str">
            <v> </v>
          </cell>
          <cell r="AB62" t="str">
            <v> </v>
          </cell>
          <cell r="AH62">
            <v>2400</v>
          </cell>
        </row>
        <row r="63">
          <cell r="U63">
            <v>2818.1413859751729</v>
          </cell>
          <cell r="V63">
            <v>3424.436762374226</v>
          </cell>
          <cell r="W63">
            <v>3011.2244229952512</v>
          </cell>
          <cell r="X63">
            <v>784.7541363168076</v>
          </cell>
          <cell r="Y63" t="str">
            <v> </v>
          </cell>
          <cell r="Z63" t="str">
            <v> </v>
          </cell>
          <cell r="AA63" t="str">
            <v> </v>
          </cell>
          <cell r="AB63" t="str">
            <v> </v>
          </cell>
          <cell r="AH63">
            <v>2400</v>
          </cell>
        </row>
        <row r="64">
          <cell r="U64">
            <v>2818.1413859751729</v>
          </cell>
          <cell r="V64">
            <v>3424.436762374226</v>
          </cell>
          <cell r="W64">
            <v>3011.2244229952512</v>
          </cell>
          <cell r="X64">
            <v>784.7541363168076</v>
          </cell>
          <cell r="Y64" t="str">
            <v> </v>
          </cell>
          <cell r="Z64" t="str">
            <v> </v>
          </cell>
          <cell r="AA64" t="str">
            <v> </v>
          </cell>
          <cell r="AB64" t="str">
            <v> </v>
          </cell>
          <cell r="AH64">
            <v>2400</v>
          </cell>
        </row>
        <row r="65">
          <cell r="U65">
            <v>2818.1413859751729</v>
          </cell>
          <cell r="V65">
            <v>3424.436762374226</v>
          </cell>
          <cell r="W65">
            <v>3011.2244229952512</v>
          </cell>
          <cell r="X65">
            <v>784.7541363168076</v>
          </cell>
          <cell r="Y65" t="str">
            <v> </v>
          </cell>
          <cell r="Z65" t="str">
            <v> </v>
          </cell>
          <cell r="AA65" t="str">
            <v> </v>
          </cell>
          <cell r="AB65" t="str">
            <v> </v>
          </cell>
          <cell r="AH65">
            <v>2400</v>
          </cell>
        </row>
        <row r="66">
          <cell r="U66">
            <v>2818.1413859751729</v>
          </cell>
          <cell r="V66">
            <v>3424.436762374226</v>
          </cell>
          <cell r="W66">
            <v>3011.2244229952512</v>
          </cell>
          <cell r="X66">
            <v>784.7541363168076</v>
          </cell>
          <cell r="Y66" t="str">
            <v> </v>
          </cell>
          <cell r="Z66" t="str">
            <v> </v>
          </cell>
          <cell r="AA66" t="str">
            <v> </v>
          </cell>
          <cell r="AB66" t="str">
            <v> </v>
          </cell>
          <cell r="AH66">
            <v>2400</v>
          </cell>
        </row>
        <row r="67">
          <cell r="U67">
            <v>2818.1413859751729</v>
          </cell>
          <cell r="V67">
            <v>3424.436762374226</v>
          </cell>
          <cell r="W67">
            <v>3011.2244229952512</v>
          </cell>
          <cell r="X67">
            <v>784.7541363168076</v>
          </cell>
          <cell r="Y67" t="str">
            <v> </v>
          </cell>
          <cell r="Z67" t="str">
            <v> </v>
          </cell>
          <cell r="AA67" t="str">
            <v> </v>
          </cell>
          <cell r="AB67" t="str">
            <v> </v>
          </cell>
          <cell r="AH67">
            <v>2400</v>
          </cell>
        </row>
        <row r="68">
          <cell r="U68">
            <v>2818.1413859751729</v>
          </cell>
          <cell r="V68">
            <v>3424.436762374226</v>
          </cell>
          <cell r="W68">
            <v>3011.2244229952512</v>
          </cell>
          <cell r="X68">
            <v>784.7541363168076</v>
          </cell>
          <cell r="Y68" t="str">
            <v> </v>
          </cell>
          <cell r="Z68" t="str">
            <v> </v>
          </cell>
          <cell r="AA68" t="str">
            <v> </v>
          </cell>
          <cell r="AB68" t="str">
            <v> </v>
          </cell>
          <cell r="AH68">
            <v>2400</v>
          </cell>
        </row>
        <row r="69">
          <cell r="U69">
            <v>2818.1413859751729</v>
          </cell>
          <cell r="V69">
            <v>3424.436762374226</v>
          </cell>
          <cell r="W69">
            <v>3011.2244229952512</v>
          </cell>
          <cell r="X69">
            <v>784.7541363168076</v>
          </cell>
          <cell r="Y69" t="str">
            <v> </v>
          </cell>
          <cell r="Z69" t="str">
            <v> </v>
          </cell>
          <cell r="AA69" t="str">
            <v> </v>
          </cell>
          <cell r="AB69" t="str">
            <v> </v>
          </cell>
          <cell r="AH69">
            <v>2400</v>
          </cell>
        </row>
        <row r="70">
          <cell r="U70">
            <v>2818.1413859751729</v>
          </cell>
          <cell r="V70">
            <v>3424.436762374226</v>
          </cell>
          <cell r="W70">
            <v>3011.2244229952512</v>
          </cell>
          <cell r="X70">
            <v>784.7541363168076</v>
          </cell>
          <cell r="Y70" t="str">
            <v> </v>
          </cell>
          <cell r="Z70" t="str">
            <v> </v>
          </cell>
          <cell r="AA70" t="str">
            <v> </v>
          </cell>
          <cell r="AB70" t="str">
            <v> </v>
          </cell>
          <cell r="AH70">
            <v>2400</v>
          </cell>
        </row>
        <row r="71">
          <cell r="AK71">
            <v>482.47811062219182</v>
          </cell>
          <cell r="AL71">
            <v>371.13700817091677</v>
          </cell>
          <cell r="AM71" t="str">
            <v> </v>
          </cell>
          <cell r="AN71" t="str">
            <v> </v>
          </cell>
          <cell r="AO71" t="str">
            <v> </v>
          </cell>
          <cell r="AP71" t="str">
            <v> </v>
          </cell>
          <cell r="AQ71" t="str">
            <v> </v>
          </cell>
          <cell r="AR71" t="str">
            <v> </v>
          </cell>
        </row>
        <row r="74">
          <cell r="U74" t="str">
            <v>CRK</v>
          </cell>
          <cell r="V74" t="str">
            <v>ALT</v>
          </cell>
          <cell r="W74" t="str">
            <v>AC</v>
          </cell>
          <cell r="X74" t="str">
            <v>TEN</v>
          </cell>
          <cell r="Y74" t="str">
            <v>NA</v>
          </cell>
          <cell r="Z74" t="str">
            <v>NA</v>
          </cell>
          <cell r="AA74" t="str">
            <v>NA</v>
          </cell>
          <cell r="AB74" t="str">
            <v>NA</v>
          </cell>
          <cell r="AC74" t="str">
            <v>NA</v>
          </cell>
          <cell r="AD74" t="str">
            <v>NA</v>
          </cell>
        </row>
        <row r="75">
          <cell r="AE75">
            <v>28.900862930997889</v>
          </cell>
        </row>
        <row r="76">
          <cell r="AE76">
            <v>208.84232623825037</v>
          </cell>
        </row>
        <row r="77">
          <cell r="AE77">
            <v>462.18417354212033</v>
          </cell>
        </row>
        <row r="78">
          <cell r="AE78">
            <v>479.14829586612694</v>
          </cell>
        </row>
        <row r="79">
          <cell r="AE79">
            <v>3044.2053731171645</v>
          </cell>
        </row>
        <row r="80">
          <cell r="AE80">
            <v>3847.4292215204377</v>
          </cell>
        </row>
        <row r="81">
          <cell r="AE81">
            <v>7.8518963704498734</v>
          </cell>
        </row>
        <row r="82">
          <cell r="AE82">
            <v>7.8518963704498734</v>
          </cell>
        </row>
        <row r="83">
          <cell r="AE83">
            <v>7.8518963704498734</v>
          </cell>
        </row>
        <row r="84">
          <cell r="AE84">
            <v>7.8518963704498734</v>
          </cell>
        </row>
        <row r="85">
          <cell r="AE85">
            <v>7.8518963704498734</v>
          </cell>
        </row>
        <row r="86">
          <cell r="AE86">
            <v>7.8518963704498734</v>
          </cell>
        </row>
        <row r="87">
          <cell r="AE87">
            <v>7.8518963704498734</v>
          </cell>
        </row>
        <row r="88">
          <cell r="AE88">
            <v>7.8518963704498734</v>
          </cell>
        </row>
        <row r="89">
          <cell r="AE89">
            <v>7.8518963704498734</v>
          </cell>
        </row>
        <row r="90">
          <cell r="AE90">
            <v>3.9259481852249367</v>
          </cell>
        </row>
        <row r="91">
          <cell r="AE91">
            <v>3.9259481852249367</v>
          </cell>
        </row>
        <row r="92">
          <cell r="AH92">
            <v>700</v>
          </cell>
          <cell r="AI92">
            <v>1.6907263147202152</v>
          </cell>
          <cell r="AJ92">
            <v>1.9222163131299985</v>
          </cell>
          <cell r="AK92">
            <v>1.5549015719219919</v>
          </cell>
          <cell r="AL92">
            <v>1.9050897041918935</v>
          </cell>
          <cell r="AM92" t="str">
            <v> </v>
          </cell>
          <cell r="AN92" t="str">
            <v> </v>
          </cell>
          <cell r="AO92" t="str">
            <v> </v>
          </cell>
          <cell r="AP92" t="str">
            <v> </v>
          </cell>
          <cell r="AQ92" t="str">
            <v> </v>
          </cell>
          <cell r="AR92" t="str">
            <v> </v>
          </cell>
        </row>
        <row r="93">
          <cell r="AD93">
            <v>3543.1431377911299</v>
          </cell>
          <cell r="AH93">
            <v>1100</v>
          </cell>
          <cell r="AI93">
            <v>1.5485404742355167</v>
          </cell>
          <cell r="AJ93">
            <v>1.9222163131299985</v>
          </cell>
          <cell r="AK93">
            <v>1.4241382514780836</v>
          </cell>
          <cell r="AL93">
            <v>1.9050897041918935</v>
          </cell>
          <cell r="AM93" t="str">
            <v> </v>
          </cell>
          <cell r="AN93" t="str">
            <v> </v>
          </cell>
          <cell r="AO93" t="str">
            <v> </v>
          </cell>
          <cell r="AP93" t="str">
            <v> </v>
          </cell>
          <cell r="AQ93" t="str">
            <v> </v>
          </cell>
          <cell r="AR93" t="str">
            <v> </v>
          </cell>
        </row>
        <row r="94">
          <cell r="AH94">
            <v>1300</v>
          </cell>
          <cell r="AI94">
            <v>1.6039282237762045</v>
          </cell>
          <cell r="AJ94">
            <v>1.9222163131299985</v>
          </cell>
          <cell r="AK94">
            <v>1.475076418156047</v>
          </cell>
          <cell r="AL94">
            <v>1.9050897041918935</v>
          </cell>
          <cell r="AM94" t="str">
            <v> </v>
          </cell>
          <cell r="AN94" t="str">
            <v> </v>
          </cell>
          <cell r="AO94" t="str">
            <v> </v>
          </cell>
          <cell r="AP94" t="str">
            <v> </v>
          </cell>
          <cell r="AQ94" t="str">
            <v> </v>
          </cell>
          <cell r="AR94" t="str">
            <v> </v>
          </cell>
        </row>
        <row r="95">
          <cell r="AH95">
            <v>1400</v>
          </cell>
          <cell r="AI95">
            <v>1.6134557554819926</v>
          </cell>
          <cell r="AJ95">
            <v>1.9222163131299985</v>
          </cell>
          <cell r="AK95">
            <v>1.4838385542255494</v>
          </cell>
          <cell r="AL95">
            <v>1.9050897041918935</v>
          </cell>
          <cell r="AM95" t="str">
            <v> </v>
          </cell>
          <cell r="AN95" t="str">
            <v> </v>
          </cell>
          <cell r="AO95" t="str">
            <v> </v>
          </cell>
          <cell r="AP95" t="str">
            <v> </v>
          </cell>
          <cell r="AQ95" t="str">
            <v> </v>
          </cell>
          <cell r="AR95" t="str">
            <v> </v>
          </cell>
        </row>
        <row r="96">
          <cell r="AH96">
            <v>1900</v>
          </cell>
          <cell r="AI96">
            <v>1.5307972034708033</v>
          </cell>
          <cell r="AJ96">
            <v>1.9222163131299985</v>
          </cell>
          <cell r="AK96">
            <v>1.4078203889341061</v>
          </cell>
          <cell r="AL96">
            <v>1.9050897041918935</v>
          </cell>
          <cell r="AM96" t="str">
            <v> </v>
          </cell>
          <cell r="AN96" t="str">
            <v> </v>
          </cell>
          <cell r="AO96" t="str">
            <v> </v>
          </cell>
          <cell r="AP96" t="str">
            <v> </v>
          </cell>
          <cell r="AQ96" t="str">
            <v> </v>
          </cell>
          <cell r="AR96" t="str">
            <v> </v>
          </cell>
        </row>
        <row r="97">
          <cell r="V97">
            <v>58.519999999999975</v>
          </cell>
          <cell r="Y97">
            <v>80</v>
          </cell>
          <cell r="AA97">
            <v>39.251356546987445</v>
          </cell>
          <cell r="AC97">
            <v>5300.7394341699683</v>
          </cell>
          <cell r="AH97">
            <v>2400</v>
          </cell>
          <cell r="AI97">
            <v>1.3367183655629009</v>
          </cell>
          <cell r="AJ97">
            <v>1.9222163131299985</v>
          </cell>
          <cell r="AK97">
            <v>1.2293329025133786</v>
          </cell>
          <cell r="AL97">
            <v>1.9050897041918935</v>
          </cell>
          <cell r="AM97" t="str">
            <v> </v>
          </cell>
          <cell r="AN97" t="str">
            <v> </v>
          </cell>
          <cell r="AO97" t="str">
            <v> </v>
          </cell>
          <cell r="AP97" t="str">
            <v> </v>
          </cell>
          <cell r="AQ97" t="str">
            <v> </v>
          </cell>
          <cell r="AR97" t="str">
            <v> </v>
          </cell>
        </row>
        <row r="98">
          <cell r="AH98">
            <v>2400</v>
          </cell>
          <cell r="AI98">
            <v>1.3367183655629009</v>
          </cell>
          <cell r="AJ98">
            <v>1.9222163131299985</v>
          </cell>
          <cell r="AK98">
            <v>1.2293329025133786</v>
          </cell>
          <cell r="AL98">
            <v>1.9050897041918935</v>
          </cell>
          <cell r="AM98" t="str">
            <v> </v>
          </cell>
          <cell r="AN98" t="str">
            <v> </v>
          </cell>
          <cell r="AO98" t="str">
            <v> </v>
          </cell>
          <cell r="AP98" t="str">
            <v> </v>
          </cell>
          <cell r="AQ98" t="str">
            <v> </v>
          </cell>
          <cell r="AR98" t="str">
            <v> </v>
          </cell>
        </row>
        <row r="99">
          <cell r="AH99">
            <v>2400</v>
          </cell>
          <cell r="AI99">
            <v>1.3367183655629009</v>
          </cell>
          <cell r="AJ99">
            <v>1.9222163131299985</v>
          </cell>
          <cell r="AK99">
            <v>1.2293329025133786</v>
          </cell>
          <cell r="AL99">
            <v>1.9050897041918935</v>
          </cell>
          <cell r="AM99" t="str">
            <v> </v>
          </cell>
          <cell r="AN99" t="str">
            <v> </v>
          </cell>
          <cell r="AO99" t="str">
            <v> </v>
          </cell>
          <cell r="AP99" t="str">
            <v> </v>
          </cell>
          <cell r="AQ99" t="str">
            <v> </v>
          </cell>
          <cell r="AR99" t="str">
            <v> </v>
          </cell>
        </row>
        <row r="100">
          <cell r="AH100">
            <v>2400</v>
          </cell>
          <cell r="AI100">
            <v>1.3367183655629009</v>
          </cell>
          <cell r="AJ100">
            <v>1.9222163131299985</v>
          </cell>
          <cell r="AK100">
            <v>1.2293329025133786</v>
          </cell>
          <cell r="AL100">
            <v>1.9050897041918935</v>
          </cell>
          <cell r="AM100" t="str">
            <v> </v>
          </cell>
          <cell r="AN100" t="str">
            <v> </v>
          </cell>
          <cell r="AO100" t="str">
            <v> </v>
          </cell>
          <cell r="AP100" t="str">
            <v> </v>
          </cell>
          <cell r="AQ100" t="str">
            <v> </v>
          </cell>
          <cell r="AR100" t="str">
            <v> </v>
          </cell>
        </row>
        <row r="101">
          <cell r="AH101">
            <v>2400</v>
          </cell>
          <cell r="AI101">
            <v>1.3367183655629009</v>
          </cell>
          <cell r="AJ101">
            <v>1.9222163131299985</v>
          </cell>
          <cell r="AK101">
            <v>1.2293329025133786</v>
          </cell>
          <cell r="AL101">
            <v>1.9050897041918935</v>
          </cell>
          <cell r="AM101" t="str">
            <v> </v>
          </cell>
          <cell r="AN101" t="str">
            <v> </v>
          </cell>
          <cell r="AO101" t="str">
            <v> </v>
          </cell>
          <cell r="AP101" t="str">
            <v> </v>
          </cell>
          <cell r="AQ101" t="str">
            <v> </v>
          </cell>
          <cell r="AR101" t="str">
            <v> </v>
          </cell>
        </row>
        <row r="102">
          <cell r="AH102">
            <v>2400</v>
          </cell>
          <cell r="AI102">
            <v>1.3367183655629009</v>
          </cell>
          <cell r="AJ102">
            <v>1.9222163131299985</v>
          </cell>
          <cell r="AK102">
            <v>1.2293329025133786</v>
          </cell>
          <cell r="AL102">
            <v>1.9050897041918935</v>
          </cell>
          <cell r="AM102" t="str">
            <v> </v>
          </cell>
          <cell r="AN102" t="str">
            <v> </v>
          </cell>
          <cell r="AO102" t="str">
            <v> </v>
          </cell>
          <cell r="AP102" t="str">
            <v> </v>
          </cell>
          <cell r="AQ102" t="str">
            <v> </v>
          </cell>
          <cell r="AR102" t="str">
            <v> </v>
          </cell>
        </row>
        <row r="103">
          <cell r="AH103">
            <v>2400</v>
          </cell>
          <cell r="AI103">
            <v>1.3367183655629009</v>
          </cell>
          <cell r="AJ103">
            <v>1.9222163131299985</v>
          </cell>
          <cell r="AK103">
            <v>1.2293329025133786</v>
          </cell>
          <cell r="AL103">
            <v>1.9050897041918935</v>
          </cell>
          <cell r="AM103" t="str">
            <v> </v>
          </cell>
          <cell r="AN103" t="str">
            <v> </v>
          </cell>
          <cell r="AO103" t="str">
            <v> </v>
          </cell>
          <cell r="AP103" t="str">
            <v> </v>
          </cell>
          <cell r="AQ103" t="str">
            <v> </v>
          </cell>
          <cell r="AR103" t="str">
            <v> </v>
          </cell>
        </row>
        <row r="104">
          <cell r="AH104">
            <v>2400</v>
          </cell>
          <cell r="AI104">
            <v>1.3367183655629009</v>
          </cell>
          <cell r="AJ104">
            <v>1.9222163131299985</v>
          </cell>
          <cell r="AK104">
            <v>1.2293329025133786</v>
          </cell>
          <cell r="AL104">
            <v>1.9050897041918935</v>
          </cell>
          <cell r="AM104" t="str">
            <v> </v>
          </cell>
          <cell r="AN104" t="str">
            <v> </v>
          </cell>
          <cell r="AO104" t="str">
            <v> </v>
          </cell>
          <cell r="AP104" t="str">
            <v> </v>
          </cell>
          <cell r="AQ104" t="str">
            <v> </v>
          </cell>
          <cell r="AR104" t="str">
            <v> </v>
          </cell>
        </row>
        <row r="105">
          <cell r="AH105">
            <v>2400</v>
          </cell>
          <cell r="AI105">
            <v>1.3367183655629009</v>
          </cell>
          <cell r="AJ105">
            <v>1.9222163131299985</v>
          </cell>
          <cell r="AK105">
            <v>1.2293329025133786</v>
          </cell>
          <cell r="AL105">
            <v>1.9050897041918935</v>
          </cell>
          <cell r="AM105" t="str">
            <v> </v>
          </cell>
          <cell r="AN105" t="str">
            <v> </v>
          </cell>
          <cell r="AO105" t="str">
            <v> </v>
          </cell>
          <cell r="AP105" t="str">
            <v> </v>
          </cell>
          <cell r="AQ105" t="str">
            <v> </v>
          </cell>
          <cell r="AR105" t="str">
            <v> </v>
          </cell>
        </row>
        <row r="106">
          <cell r="AH106">
            <v>2400</v>
          </cell>
          <cell r="AI106">
            <v>1.3367183655629009</v>
          </cell>
          <cell r="AJ106">
            <v>1.9222163131299985</v>
          </cell>
          <cell r="AK106">
            <v>1.2293329025133786</v>
          </cell>
          <cell r="AL106">
            <v>1.9050897041918935</v>
          </cell>
          <cell r="AM106" t="str">
            <v> </v>
          </cell>
          <cell r="AN106" t="str">
            <v> </v>
          </cell>
          <cell r="AO106" t="str">
            <v> </v>
          </cell>
          <cell r="AP106" t="str">
            <v> </v>
          </cell>
          <cell r="AQ106" t="str">
            <v> </v>
          </cell>
          <cell r="AR106" t="str">
            <v> </v>
          </cell>
        </row>
        <row r="107">
          <cell r="AH107">
            <v>2400</v>
          </cell>
          <cell r="AI107">
            <v>1.3367183655629009</v>
          </cell>
          <cell r="AJ107">
            <v>1.9222163131299985</v>
          </cell>
          <cell r="AK107">
            <v>1.2293329025133786</v>
          </cell>
          <cell r="AL107">
            <v>1.9050897041918935</v>
          </cell>
          <cell r="AM107" t="str">
            <v> </v>
          </cell>
          <cell r="AN107" t="str">
            <v> </v>
          </cell>
          <cell r="AO107" t="str">
            <v> </v>
          </cell>
          <cell r="AP107" t="str">
            <v> </v>
          </cell>
          <cell r="AQ107" t="str">
            <v> </v>
          </cell>
          <cell r="AR107" t="str">
            <v> </v>
          </cell>
        </row>
        <row r="108">
          <cell r="AH108">
            <v>2400</v>
          </cell>
          <cell r="AI108">
            <v>1.3367183655629009</v>
          </cell>
          <cell r="AJ108">
            <v>1.9222163131299985</v>
          </cell>
          <cell r="AK108">
            <v>1.2293329025133786</v>
          </cell>
          <cell r="AL108">
            <v>1.9050897041918935</v>
          </cell>
          <cell r="AM108" t="str">
            <v> </v>
          </cell>
          <cell r="AN108" t="str">
            <v> </v>
          </cell>
          <cell r="AO108" t="str">
            <v> </v>
          </cell>
          <cell r="AP108" t="str">
            <v> </v>
          </cell>
          <cell r="AQ108" t="str">
            <v> </v>
          </cell>
          <cell r="AR108" t="str">
            <v> </v>
          </cell>
        </row>
        <row r="111">
          <cell r="AI111">
            <v>1.3367183655629009</v>
          </cell>
          <cell r="AJ111">
            <v>1.9222163131299985</v>
          </cell>
          <cell r="AK111">
            <v>1.2293329025133786</v>
          </cell>
          <cell r="AL111" t="str">
            <v> </v>
          </cell>
          <cell r="AM111" t="str">
            <v> </v>
          </cell>
          <cell r="AN111" t="str">
            <v> </v>
          </cell>
          <cell r="AO111" t="str">
            <v> </v>
          </cell>
          <cell r="AP111" t="str">
            <v> </v>
          </cell>
          <cell r="AQ111" t="str">
            <v> </v>
          </cell>
          <cell r="AR111" t="str">
            <v> </v>
          </cell>
        </row>
        <row r="112">
          <cell r="AH112" t="str">
            <v>Eng.RPM</v>
          </cell>
        </row>
        <row r="115">
          <cell r="AI115">
            <v>1.3981991308119202</v>
          </cell>
          <cell r="AJ115">
            <v>1.9222163131299985</v>
          </cell>
          <cell r="AK115">
            <v>0.98913430892486243</v>
          </cell>
          <cell r="AL115" t="str">
            <v> </v>
          </cell>
          <cell r="AM115" t="str">
            <v> </v>
          </cell>
          <cell r="AN115" t="str">
            <v> </v>
          </cell>
          <cell r="AO115" t="str">
            <v> </v>
          </cell>
          <cell r="AP115" t="str">
            <v> </v>
          </cell>
          <cell r="AQ115" t="str">
            <v> </v>
          </cell>
          <cell r="AR115" t="str">
            <v> </v>
          </cell>
        </row>
        <row r="117">
          <cell r="AD117">
            <v>8149.229216919598</v>
          </cell>
        </row>
        <row r="119">
          <cell r="D119">
            <v>249.21031357491876</v>
          </cell>
          <cell r="E119">
            <v>234.21031357491876</v>
          </cell>
          <cell r="F119">
            <v>219.21031357491876</v>
          </cell>
          <cell r="G119">
            <v>204.21031357491876</v>
          </cell>
          <cell r="H119">
            <v>189.21031357491876</v>
          </cell>
          <cell r="I119">
            <v>174.21031357491876</v>
          </cell>
          <cell r="J119">
            <v>159.21031357491876</v>
          </cell>
          <cell r="K119">
            <v>144.21031357491876</v>
          </cell>
          <cell r="L119">
            <v>129.21031357491876</v>
          </cell>
          <cell r="M119">
            <v>114.21031357491876</v>
          </cell>
          <cell r="N119">
            <v>99.210313574918757</v>
          </cell>
          <cell r="O119">
            <v>84.210313574918757</v>
          </cell>
          <cell r="P119">
            <v>69.210313574918757</v>
          </cell>
          <cell r="Q119">
            <v>54.210313574918757</v>
          </cell>
          <cell r="R119">
            <v>39.210313574918757</v>
          </cell>
          <cell r="S119">
            <v>24.210313574918757</v>
          </cell>
          <cell r="T119">
            <v>9.2103135749187572</v>
          </cell>
          <cell r="U119">
            <v>-5.7896864250812428</v>
          </cell>
          <cell r="V119">
            <v>-20.789686425081243</v>
          </cell>
          <cell r="W119">
            <v>-35.789686425081243</v>
          </cell>
          <cell r="X119">
            <v>-50.789686425081243</v>
          </cell>
          <cell r="Y119">
            <v>-65.789686425081243</v>
          </cell>
          <cell r="Z119">
            <v>-80.789686425081243</v>
          </cell>
          <cell r="AA119">
            <v>-95.789686425081243</v>
          </cell>
          <cell r="AB119">
            <v>-110.78968642508124</v>
          </cell>
          <cell r="AC119">
            <v>-125.78968642508124</v>
          </cell>
          <cell r="AD119">
            <v>-140.78968642508124</v>
          </cell>
          <cell r="AE119">
            <v>-155.78968642508124</v>
          </cell>
        </row>
        <row r="120">
          <cell r="D120">
            <v>249.21031357491876</v>
          </cell>
          <cell r="E120">
            <v>234.21031357491876</v>
          </cell>
          <cell r="F120">
            <v>219.21031357491876</v>
          </cell>
          <cell r="G120">
            <v>204.21031357491876</v>
          </cell>
          <cell r="H120">
            <v>189.21031357491876</v>
          </cell>
          <cell r="I120">
            <v>174.21031357491876</v>
          </cell>
          <cell r="J120">
            <v>159.21031357491876</v>
          </cell>
          <cell r="K120">
            <v>144.21031357491876</v>
          </cell>
          <cell r="L120">
            <v>129.21031357491876</v>
          </cell>
          <cell r="M120">
            <v>114.21031357491876</v>
          </cell>
          <cell r="N120">
            <v>99.210313574918757</v>
          </cell>
          <cell r="O120">
            <v>84.210313574918757</v>
          </cell>
          <cell r="P120">
            <v>69.210313574918757</v>
          </cell>
          <cell r="Q120">
            <v>54.210313574918757</v>
          </cell>
          <cell r="R120">
            <v>39.210313574918757</v>
          </cell>
          <cell r="S120">
            <v>24.210313574918757</v>
          </cell>
          <cell r="T120">
            <v>9.2103135749187572</v>
          </cell>
          <cell r="U120">
            <v>-5.7896864250812428</v>
          </cell>
          <cell r="V120">
            <v>-20.789686425081243</v>
          </cell>
          <cell r="W120">
            <v>-35.789686425081243</v>
          </cell>
          <cell r="X120">
            <v>-50.789686425081243</v>
          </cell>
          <cell r="Y120">
            <v>-65.789686425081243</v>
          </cell>
          <cell r="Z120">
            <v>-80.789686425081243</v>
          </cell>
          <cell r="AA120">
            <v>-95.789686425081243</v>
          </cell>
          <cell r="AB120">
            <v>-110.78968642508124</v>
          </cell>
          <cell r="AC120">
            <v>-125.78968642508124</v>
          </cell>
          <cell r="AD120">
            <v>-140.78968642508124</v>
          </cell>
          <cell r="AE120">
            <v>-155.78968642508124</v>
          </cell>
        </row>
        <row r="121">
          <cell r="D121">
            <v>249.21031357491876</v>
          </cell>
          <cell r="E121">
            <v>234.21031357491876</v>
          </cell>
          <cell r="F121">
            <v>219.21031357491876</v>
          </cell>
          <cell r="G121">
            <v>204.21031357491876</v>
          </cell>
          <cell r="H121">
            <v>189.21031357491876</v>
          </cell>
          <cell r="I121">
            <v>174.21031357491876</v>
          </cell>
          <cell r="J121">
            <v>159.21031357491876</v>
          </cell>
          <cell r="K121">
            <v>144.21031357491876</v>
          </cell>
          <cell r="L121">
            <v>129.21031357491876</v>
          </cell>
          <cell r="M121">
            <v>114.21031357491876</v>
          </cell>
          <cell r="N121">
            <v>99.210313574918757</v>
          </cell>
          <cell r="O121">
            <v>84.210313574918757</v>
          </cell>
          <cell r="P121">
            <v>69.210313574918757</v>
          </cell>
          <cell r="Q121">
            <v>54.210313574918757</v>
          </cell>
          <cell r="R121">
            <v>39.210313574918757</v>
          </cell>
          <cell r="S121">
            <v>24.210313574918757</v>
          </cell>
          <cell r="T121">
            <v>9.2103135749187572</v>
          </cell>
          <cell r="U121">
            <v>-5.7896864250812428</v>
          </cell>
          <cell r="V121">
            <v>-20.789686425081243</v>
          </cell>
          <cell r="W121">
            <v>-35.789686425081243</v>
          </cell>
          <cell r="X121">
            <v>-50.789686425081243</v>
          </cell>
          <cell r="Y121">
            <v>-65.789686425081243</v>
          </cell>
          <cell r="Z121">
            <v>-80.789686425081243</v>
          </cell>
          <cell r="AA121">
            <v>-95.789686425081243</v>
          </cell>
          <cell r="AB121">
            <v>-110.78968642508124</v>
          </cell>
          <cell r="AC121">
            <v>-125.78968642508124</v>
          </cell>
          <cell r="AD121">
            <v>-140.78968642508124</v>
          </cell>
          <cell r="AE121">
            <v>-155.78968642508124</v>
          </cell>
        </row>
        <row r="122">
          <cell r="D122">
            <v>249.21031357491876</v>
          </cell>
          <cell r="E122">
            <v>234.21031357491876</v>
          </cell>
          <cell r="F122">
            <v>219.21031357491876</v>
          </cell>
          <cell r="G122">
            <v>204.21031357491876</v>
          </cell>
          <cell r="H122">
            <v>189.21031357491876</v>
          </cell>
          <cell r="I122">
            <v>174.21031357491876</v>
          </cell>
          <cell r="J122">
            <v>159.21031357491876</v>
          </cell>
          <cell r="K122">
            <v>144.21031357491876</v>
          </cell>
          <cell r="L122">
            <v>129.21031357491876</v>
          </cell>
          <cell r="M122">
            <v>114.21031357491876</v>
          </cell>
          <cell r="N122">
            <v>99.210313574918757</v>
          </cell>
          <cell r="O122">
            <v>84.210313574918757</v>
          </cell>
          <cell r="P122">
            <v>69.210313574918757</v>
          </cell>
          <cell r="Q122">
            <v>54.210313574918757</v>
          </cell>
          <cell r="R122">
            <v>39.210313574918757</v>
          </cell>
          <cell r="S122">
            <v>24.210313574918757</v>
          </cell>
          <cell r="T122">
            <v>9.2103135749187572</v>
          </cell>
          <cell r="U122">
            <v>-5.7896864250812428</v>
          </cell>
          <cell r="V122">
            <v>-20.789686425081243</v>
          </cell>
          <cell r="W122">
            <v>-35.789686425081243</v>
          </cell>
          <cell r="X122">
            <v>-50.789686425081243</v>
          </cell>
          <cell r="Y122">
            <v>-65.789686425081243</v>
          </cell>
          <cell r="Z122">
            <v>-80.789686425081243</v>
          </cell>
          <cell r="AA122">
            <v>-95.789686425081243</v>
          </cell>
          <cell r="AB122">
            <v>-110.78968642508124</v>
          </cell>
          <cell r="AC122">
            <v>-125.78968642508124</v>
          </cell>
          <cell r="AD122">
            <v>-140.78968642508124</v>
          </cell>
          <cell r="AE122">
            <v>-155.78968642508124</v>
          </cell>
        </row>
        <row r="123">
          <cell r="D123">
            <v>249.21031357491876</v>
          </cell>
          <cell r="E123">
            <v>234.21031357491876</v>
          </cell>
          <cell r="F123">
            <v>219.21031357491876</v>
          </cell>
          <cell r="G123">
            <v>204.21031357491876</v>
          </cell>
          <cell r="H123">
            <v>189.21031357491876</v>
          </cell>
          <cell r="I123">
            <v>174.21031357491876</v>
          </cell>
          <cell r="J123">
            <v>159.21031357491876</v>
          </cell>
          <cell r="K123">
            <v>144.21031357491876</v>
          </cell>
          <cell r="L123">
            <v>129.21031357491876</v>
          </cell>
          <cell r="M123">
            <v>114.21031357491876</v>
          </cell>
          <cell r="N123">
            <v>99.210313574918757</v>
          </cell>
          <cell r="O123">
            <v>84.210313574918757</v>
          </cell>
          <cell r="P123">
            <v>69.210313574918757</v>
          </cell>
          <cell r="Q123">
            <v>54.210313574918757</v>
          </cell>
          <cell r="R123">
            <v>39.210313574918757</v>
          </cell>
          <cell r="S123">
            <v>24.210313574918757</v>
          </cell>
          <cell r="T123">
            <v>9.2103135749187572</v>
          </cell>
          <cell r="U123">
            <v>-5.7896864250812428</v>
          </cell>
          <cell r="V123">
            <v>-20.789686425081243</v>
          </cell>
          <cell r="W123">
            <v>-35.789686425081243</v>
          </cell>
          <cell r="X123">
            <v>-50.789686425081243</v>
          </cell>
          <cell r="Y123">
            <v>-65.789686425081243</v>
          </cell>
          <cell r="Z123">
            <v>-80.789686425081243</v>
          </cell>
          <cell r="AA123">
            <v>-95.789686425081243</v>
          </cell>
          <cell r="AB123">
            <v>-110.78968642508124</v>
          </cell>
          <cell r="AC123">
            <v>-125.78968642508124</v>
          </cell>
          <cell r="AD123">
            <v>-140.78968642508124</v>
          </cell>
          <cell r="AE123">
            <v>-155.78968642508124</v>
          </cell>
        </row>
        <row r="124">
          <cell r="D124">
            <v>249.21031357491876</v>
          </cell>
          <cell r="E124">
            <v>234.21031357491876</v>
          </cell>
          <cell r="F124">
            <v>219.21031357491876</v>
          </cell>
          <cell r="G124">
            <v>204.21031357491876</v>
          </cell>
          <cell r="H124">
            <v>189.21031357491876</v>
          </cell>
          <cell r="I124">
            <v>174.21031357491876</v>
          </cell>
          <cell r="J124">
            <v>159.21031357491876</v>
          </cell>
          <cell r="K124">
            <v>144.21031357491876</v>
          </cell>
          <cell r="L124">
            <v>129.21031357491876</v>
          </cell>
          <cell r="M124">
            <v>114.21031357491876</v>
          </cell>
          <cell r="N124">
            <v>99.210313574918757</v>
          </cell>
          <cell r="O124">
            <v>84.210313574918757</v>
          </cell>
          <cell r="P124">
            <v>69.210313574918757</v>
          </cell>
          <cell r="Q124">
            <v>54.210313574918757</v>
          </cell>
          <cell r="R124">
            <v>39.210313574918757</v>
          </cell>
          <cell r="S124">
            <v>24.210313574918757</v>
          </cell>
          <cell r="T124">
            <v>9.2103135749187572</v>
          </cell>
          <cell r="U124">
            <v>-5.7896864250812428</v>
          </cell>
          <cell r="V124">
            <v>-20.789686425081243</v>
          </cell>
          <cell r="W124">
            <v>-35.789686425081243</v>
          </cell>
          <cell r="X124">
            <v>-50.789686425081243</v>
          </cell>
          <cell r="Y124">
            <v>-65.789686425081243</v>
          </cell>
          <cell r="Z124">
            <v>-80.789686425081243</v>
          </cell>
          <cell r="AA124">
            <v>-95.789686425081243</v>
          </cell>
          <cell r="AB124">
            <v>-110.78968642508124</v>
          </cell>
          <cell r="AC124">
            <v>-125.78968642508124</v>
          </cell>
          <cell r="AD124">
            <v>-140.78968642508124</v>
          </cell>
          <cell r="AE124">
            <v>-155.78968642508124</v>
          </cell>
        </row>
        <row r="130">
          <cell r="F130">
            <v>349.09091972240435</v>
          </cell>
          <cell r="G130">
            <v>127.90408679708</v>
          </cell>
          <cell r="H130">
            <v>261.66413959686616</v>
          </cell>
          <cell r="I130">
            <v>111.23695378345695</v>
          </cell>
          <cell r="J130" t="str">
            <v> </v>
          </cell>
          <cell r="K130" t="str">
            <v> </v>
          </cell>
          <cell r="L130" t="str">
            <v> </v>
          </cell>
          <cell r="M130" t="str">
            <v> </v>
          </cell>
          <cell r="N130" t="str">
            <v> </v>
          </cell>
          <cell r="O130" t="str">
            <v> </v>
          </cell>
        </row>
        <row r="131">
          <cell r="F131">
            <v>349.57912853184649</v>
          </cell>
          <cell r="G131">
            <v>127.90408679708</v>
          </cell>
          <cell r="H131">
            <v>261.57288972192629</v>
          </cell>
          <cell r="I131">
            <v>111.23695378345695</v>
          </cell>
          <cell r="J131" t="str">
            <v> </v>
          </cell>
          <cell r="K131" t="str">
            <v> </v>
          </cell>
          <cell r="L131" t="str">
            <v> </v>
          </cell>
          <cell r="M131" t="str">
            <v> </v>
          </cell>
          <cell r="N131" t="str">
            <v> </v>
          </cell>
          <cell r="O131" t="str">
            <v> </v>
          </cell>
        </row>
        <row r="132">
          <cell r="F132">
            <v>349.38812568517596</v>
          </cell>
          <cell r="G132">
            <v>127.90408679708</v>
          </cell>
          <cell r="H132">
            <v>261.60864495359709</v>
          </cell>
          <cell r="I132">
            <v>111.23695378345695</v>
          </cell>
          <cell r="J132" t="str">
            <v> </v>
          </cell>
          <cell r="K132" t="str">
            <v> </v>
          </cell>
          <cell r="L132" t="str">
            <v> </v>
          </cell>
          <cell r="M132" t="str">
            <v> </v>
          </cell>
          <cell r="N132" t="str">
            <v> </v>
          </cell>
          <cell r="O132" t="str">
            <v> </v>
          </cell>
        </row>
        <row r="133">
          <cell r="F133">
            <v>349.35537643711376</v>
          </cell>
          <cell r="G133">
            <v>127.90408679708</v>
          </cell>
          <cell r="H133">
            <v>261.61476832640113</v>
          </cell>
          <cell r="I133">
            <v>111.23695378345695</v>
          </cell>
          <cell r="J133" t="str">
            <v> </v>
          </cell>
          <cell r="K133" t="str">
            <v> </v>
          </cell>
          <cell r="L133" t="str">
            <v> </v>
          </cell>
          <cell r="M133" t="str">
            <v> </v>
          </cell>
          <cell r="N133" t="str">
            <v> </v>
          </cell>
          <cell r="O133" t="str">
            <v> </v>
          </cell>
        </row>
        <row r="134">
          <cell r="F134">
            <v>349.64053867151654</v>
          </cell>
          <cell r="G134">
            <v>127.90408679708</v>
          </cell>
          <cell r="H134">
            <v>261.56137855204582</v>
          </cell>
          <cell r="I134">
            <v>111.23695378345695</v>
          </cell>
          <cell r="J134" t="str">
            <v> </v>
          </cell>
          <cell r="K134" t="str">
            <v> </v>
          </cell>
          <cell r="L134" t="str">
            <v> </v>
          </cell>
          <cell r="M134" t="str">
            <v> </v>
          </cell>
          <cell r="N134" t="str">
            <v> </v>
          </cell>
          <cell r="O134" t="str">
            <v> </v>
          </cell>
        </row>
        <row r="135">
          <cell r="F135">
            <v>350.31935731207216</v>
          </cell>
          <cell r="G135">
            <v>127.90408679708</v>
          </cell>
          <cell r="H135">
            <v>261.43362510551316</v>
          </cell>
          <cell r="I135">
            <v>111.23695378345695</v>
          </cell>
          <cell r="J135" t="str">
            <v> </v>
          </cell>
          <cell r="K135" t="str">
            <v> </v>
          </cell>
          <cell r="L135" t="str">
            <v> </v>
          </cell>
          <cell r="M135" t="str">
            <v> </v>
          </cell>
          <cell r="N135" t="str">
            <v> </v>
          </cell>
          <cell r="O135" t="str">
            <v> </v>
          </cell>
        </row>
        <row r="136">
          <cell r="F136">
            <v>350.31935731207216</v>
          </cell>
          <cell r="G136">
            <v>127.90408679708</v>
          </cell>
          <cell r="H136">
            <v>261.43362510551316</v>
          </cell>
          <cell r="I136">
            <v>111.23695378345695</v>
          </cell>
          <cell r="J136" t="str">
            <v> </v>
          </cell>
          <cell r="K136" t="str">
            <v> </v>
          </cell>
          <cell r="L136" t="str">
            <v> </v>
          </cell>
          <cell r="M136" t="str">
            <v> </v>
          </cell>
          <cell r="N136" t="str">
            <v> </v>
          </cell>
          <cell r="O136" t="str">
            <v> </v>
          </cell>
        </row>
        <row r="137">
          <cell r="F137">
            <v>350.31935731207216</v>
          </cell>
          <cell r="G137">
            <v>127.90408679708</v>
          </cell>
          <cell r="H137">
            <v>261.43362510551316</v>
          </cell>
          <cell r="I137">
            <v>111.23695378345695</v>
          </cell>
          <cell r="J137" t="str">
            <v> </v>
          </cell>
          <cell r="K137" t="str">
            <v> </v>
          </cell>
          <cell r="L137" t="str">
            <v> </v>
          </cell>
          <cell r="M137" t="str">
            <v> </v>
          </cell>
          <cell r="N137" t="str">
            <v> </v>
          </cell>
          <cell r="O137" t="str">
            <v> </v>
          </cell>
          <cell r="AD137" t="e">
            <v>#DIV/0!</v>
          </cell>
        </row>
        <row r="138">
          <cell r="F138">
            <v>350.31935731207216</v>
          </cell>
          <cell r="G138">
            <v>127.90408679708</v>
          </cell>
          <cell r="H138">
            <v>261.43362510551316</v>
          </cell>
          <cell r="I138">
            <v>111.23695378345695</v>
          </cell>
          <cell r="J138" t="str">
            <v> </v>
          </cell>
          <cell r="K138" t="str">
            <v> </v>
          </cell>
          <cell r="L138" t="str">
            <v> </v>
          </cell>
          <cell r="M138" t="str">
            <v> </v>
          </cell>
          <cell r="N138" t="str">
            <v> </v>
          </cell>
          <cell r="O138" t="str">
            <v> </v>
          </cell>
        </row>
        <row r="139">
          <cell r="F139">
            <v>350.31935731207216</v>
          </cell>
          <cell r="G139">
            <v>127.90408679708</v>
          </cell>
          <cell r="H139">
            <v>261.43362510551316</v>
          </cell>
          <cell r="I139">
            <v>111.23695378345695</v>
          </cell>
          <cell r="J139" t="str">
            <v> </v>
          </cell>
          <cell r="K139" t="str">
            <v> </v>
          </cell>
          <cell r="L139" t="str">
            <v> </v>
          </cell>
          <cell r="M139" t="str">
            <v> </v>
          </cell>
          <cell r="N139" t="str">
            <v> </v>
          </cell>
          <cell r="O139" t="str">
            <v> </v>
          </cell>
          <cell r="AD139" t="str">
            <v>3阶次</v>
          </cell>
          <cell r="AE139" t="str">
            <v>2阶次</v>
          </cell>
          <cell r="AJ139" t="str">
            <v>CRK</v>
          </cell>
          <cell r="AK139" t="str">
            <v>ALT</v>
          </cell>
          <cell r="AL139" t="str">
            <v>AC</v>
          </cell>
          <cell r="AM139" t="str">
            <v>TEN</v>
          </cell>
          <cell r="AN139" t="str">
            <v>NA</v>
          </cell>
          <cell r="AO139" t="str">
            <v>NA</v>
          </cell>
          <cell r="AP139" t="str">
            <v>NA</v>
          </cell>
          <cell r="AQ139" t="str">
            <v>NA</v>
          </cell>
          <cell r="AR139" t="str">
            <v>NA</v>
          </cell>
          <cell r="AS139" t="str">
            <v>NA</v>
          </cell>
        </row>
        <row r="140">
          <cell r="F140">
            <v>350.31935731207216</v>
          </cell>
          <cell r="G140">
            <v>127.90408679708</v>
          </cell>
          <cell r="H140">
            <v>261.43362510551316</v>
          </cell>
          <cell r="I140">
            <v>111.23695378345695</v>
          </cell>
          <cell r="J140" t="str">
            <v> </v>
          </cell>
          <cell r="K140" t="str">
            <v> </v>
          </cell>
          <cell r="L140" t="str">
            <v> </v>
          </cell>
          <cell r="M140" t="str">
            <v> </v>
          </cell>
          <cell r="N140" t="str">
            <v> </v>
          </cell>
          <cell r="O140" t="str">
            <v> </v>
          </cell>
          <cell r="AD140">
            <v>35</v>
          </cell>
          <cell r="AE140">
            <v>23.333333333333332</v>
          </cell>
          <cell r="AH140">
            <v>700</v>
          </cell>
          <cell r="AJ140">
            <v>231.44514043663577</v>
          </cell>
          <cell r="AK140">
            <v>278.39343133163112</v>
          </cell>
          <cell r="AL140">
            <v>220.88720929277929</v>
          </cell>
          <cell r="AM140">
            <v>242.61603957944305</v>
          </cell>
          <cell r="AN140" t="str">
            <v> </v>
          </cell>
          <cell r="AO140" t="str">
            <v> </v>
          </cell>
          <cell r="AP140" t="str">
            <v> </v>
          </cell>
          <cell r="AQ140" t="str">
            <v> </v>
          </cell>
          <cell r="AR140" t="str">
            <v> </v>
          </cell>
          <cell r="AS140" t="str">
            <v> </v>
          </cell>
        </row>
        <row r="141">
          <cell r="F141">
            <v>350.31935731207216</v>
          </cell>
          <cell r="G141">
            <v>127.90408679708</v>
          </cell>
          <cell r="H141">
            <v>261.43362510551316</v>
          </cell>
          <cell r="I141">
            <v>111.23695378345695</v>
          </cell>
          <cell r="J141" t="str">
            <v> </v>
          </cell>
          <cell r="K141" t="str">
            <v> </v>
          </cell>
          <cell r="L141" t="str">
            <v> </v>
          </cell>
          <cell r="M141" t="str">
            <v> </v>
          </cell>
          <cell r="N141" t="str">
            <v> </v>
          </cell>
          <cell r="O141" t="str">
            <v> </v>
          </cell>
          <cell r="AD141">
            <v>55</v>
          </cell>
          <cell r="AE141">
            <v>36.666666666666664</v>
          </cell>
          <cell r="AH141">
            <v>1100</v>
          </cell>
          <cell r="AJ141">
            <v>242.43551636845874</v>
          </cell>
          <cell r="AK141">
            <v>291.61318812372684</v>
          </cell>
          <cell r="AL141">
            <v>220.88720929277929</v>
          </cell>
          <cell r="AM141">
            <v>242.61603957944305</v>
          </cell>
          <cell r="AN141" t="str">
            <v> </v>
          </cell>
          <cell r="AO141" t="str">
            <v> </v>
          </cell>
          <cell r="AP141" t="str">
            <v> </v>
          </cell>
          <cell r="AQ141" t="str">
            <v> </v>
          </cell>
          <cell r="AR141" t="str">
            <v> </v>
          </cell>
          <cell r="AS141" t="str">
            <v> </v>
          </cell>
        </row>
        <row r="142">
          <cell r="F142">
            <v>350.31935731207216</v>
          </cell>
          <cell r="G142">
            <v>127.90408679708</v>
          </cell>
          <cell r="H142">
            <v>261.43362510551316</v>
          </cell>
          <cell r="I142">
            <v>111.23695378345695</v>
          </cell>
          <cell r="J142" t="str">
            <v> </v>
          </cell>
          <cell r="K142" t="str">
            <v> </v>
          </cell>
          <cell r="L142" t="str">
            <v> </v>
          </cell>
          <cell r="M142" t="str">
            <v> </v>
          </cell>
          <cell r="N142" t="str">
            <v> </v>
          </cell>
          <cell r="O142" t="str">
            <v> </v>
          </cell>
          <cell r="AD142">
            <v>65</v>
          </cell>
          <cell r="AE142">
            <v>43.333333333333336</v>
          </cell>
          <cell r="AH142">
            <v>1300</v>
          </cell>
          <cell r="AJ142">
            <v>237.98401380065877</v>
          </cell>
          <cell r="AK142">
            <v>286.25870510415064</v>
          </cell>
          <cell r="AL142">
            <v>220.88720929277929</v>
          </cell>
          <cell r="AM142">
            <v>242.61603957944305</v>
          </cell>
          <cell r="AN142" t="str">
            <v> </v>
          </cell>
          <cell r="AO142" t="str">
            <v> </v>
          </cell>
          <cell r="AP142" t="str">
            <v> </v>
          </cell>
          <cell r="AQ142" t="str">
            <v> </v>
          </cell>
          <cell r="AR142" t="str">
            <v> </v>
          </cell>
          <cell r="AS142" t="str">
            <v> </v>
          </cell>
        </row>
        <row r="143">
          <cell r="F143">
            <v>350.31935731207216</v>
          </cell>
          <cell r="G143">
            <v>127.90408679708</v>
          </cell>
          <cell r="H143">
            <v>261.43362510551316</v>
          </cell>
          <cell r="I143">
            <v>111.23695378345695</v>
          </cell>
          <cell r="J143" t="str">
            <v> </v>
          </cell>
          <cell r="K143" t="str">
            <v> </v>
          </cell>
          <cell r="L143" t="str">
            <v> </v>
          </cell>
          <cell r="M143" t="str">
            <v> </v>
          </cell>
          <cell r="N143" t="str">
            <v> </v>
          </cell>
          <cell r="O143" t="str">
            <v> </v>
          </cell>
          <cell r="AD143">
            <v>70</v>
          </cell>
          <cell r="AE143">
            <v>46.666666666666664</v>
          </cell>
          <cell r="AH143">
            <v>1400</v>
          </cell>
          <cell r="AJ143">
            <v>237.24106289512045</v>
          </cell>
          <cell r="AK143">
            <v>285.365047749697</v>
          </cell>
          <cell r="AL143">
            <v>220.88720929277929</v>
          </cell>
          <cell r="AM143">
            <v>242.61603957944305</v>
          </cell>
          <cell r="AN143" t="str">
            <v> </v>
          </cell>
          <cell r="AO143" t="str">
            <v> </v>
          </cell>
          <cell r="AP143" t="str">
            <v> </v>
          </cell>
          <cell r="AQ143" t="str">
            <v> </v>
          </cell>
          <cell r="AR143" t="str">
            <v> </v>
          </cell>
          <cell r="AS143" t="str">
            <v> </v>
          </cell>
        </row>
        <row r="144">
          <cell r="F144">
            <v>350.31935731207216</v>
          </cell>
          <cell r="G144">
            <v>127.90408679708</v>
          </cell>
          <cell r="H144">
            <v>261.43362510551316</v>
          </cell>
          <cell r="I144">
            <v>111.23695378345695</v>
          </cell>
          <cell r="J144" t="str">
            <v> </v>
          </cell>
          <cell r="K144" t="str">
            <v> </v>
          </cell>
          <cell r="L144" t="str">
            <v> </v>
          </cell>
          <cell r="M144" t="str">
            <v> </v>
          </cell>
          <cell r="N144" t="str">
            <v> </v>
          </cell>
          <cell r="O144" t="str">
            <v> </v>
          </cell>
          <cell r="AD144">
            <v>95</v>
          </cell>
          <cell r="AE144">
            <v>63.333333333333336</v>
          </cell>
          <cell r="AH144">
            <v>1900</v>
          </cell>
          <cell r="AJ144">
            <v>243.91145498704032</v>
          </cell>
          <cell r="AK144">
            <v>293.3885186218597</v>
          </cell>
          <cell r="AL144">
            <v>220.88720929277929</v>
          </cell>
          <cell r="AM144">
            <v>242.61603957944305</v>
          </cell>
          <cell r="AN144" t="str">
            <v> </v>
          </cell>
          <cell r="AO144" t="str">
            <v> </v>
          </cell>
          <cell r="AP144" t="str">
            <v> </v>
          </cell>
          <cell r="AQ144" t="str">
            <v> </v>
          </cell>
          <cell r="AR144" t="str">
            <v> </v>
          </cell>
          <cell r="AS144" t="str">
            <v> </v>
          </cell>
        </row>
        <row r="145">
          <cell r="F145">
            <v>350.31935731207216</v>
          </cell>
          <cell r="G145">
            <v>127.90408679708</v>
          </cell>
          <cell r="H145">
            <v>261.43362510551316</v>
          </cell>
          <cell r="I145">
            <v>111.23695378345695</v>
          </cell>
          <cell r="J145" t="str">
            <v> </v>
          </cell>
          <cell r="K145" t="str">
            <v> </v>
          </cell>
          <cell r="L145" t="str">
            <v> </v>
          </cell>
          <cell r="M145" t="str">
            <v> </v>
          </cell>
          <cell r="N145" t="str">
            <v> </v>
          </cell>
          <cell r="O145" t="str">
            <v> </v>
          </cell>
          <cell r="AD145">
            <v>120</v>
          </cell>
          <cell r="AE145">
            <v>80</v>
          </cell>
          <cell r="AH145">
            <v>2400</v>
          </cell>
          <cell r="AJ145">
            <v>261.89427975040815</v>
          </cell>
          <cell r="AK145">
            <v>315.01913174021985</v>
          </cell>
          <cell r="AL145">
            <v>220.88720929277929</v>
          </cell>
          <cell r="AM145">
            <v>242.61603957944305</v>
          </cell>
          <cell r="AN145" t="str">
            <v> </v>
          </cell>
          <cell r="AO145" t="str">
            <v> </v>
          </cell>
          <cell r="AP145" t="str">
            <v> </v>
          </cell>
          <cell r="AQ145" t="str">
            <v> </v>
          </cell>
          <cell r="AR145" t="str">
            <v> </v>
          </cell>
          <cell r="AS145" t="str">
            <v> </v>
          </cell>
        </row>
        <row r="146">
          <cell r="F146">
            <v>350.31935731207216</v>
          </cell>
          <cell r="G146">
            <v>127.90408679708</v>
          </cell>
          <cell r="H146">
            <v>261.43362510551316</v>
          </cell>
          <cell r="I146">
            <v>111.23695378345695</v>
          </cell>
          <cell r="J146" t="str">
            <v> </v>
          </cell>
          <cell r="K146" t="str">
            <v> </v>
          </cell>
          <cell r="L146" t="str">
            <v> </v>
          </cell>
          <cell r="M146" t="str">
            <v> </v>
          </cell>
          <cell r="N146" t="str">
            <v> </v>
          </cell>
          <cell r="O146" t="str">
            <v> </v>
          </cell>
          <cell r="AD146">
            <v>120</v>
          </cell>
          <cell r="AE146">
            <v>80</v>
          </cell>
          <cell r="AH146">
            <v>2400</v>
          </cell>
          <cell r="AJ146">
            <v>261.89427975040815</v>
          </cell>
          <cell r="AK146">
            <v>315.01913174021985</v>
          </cell>
          <cell r="AL146">
            <v>220.88720929277929</v>
          </cell>
          <cell r="AM146">
            <v>242.61603957944305</v>
          </cell>
          <cell r="AN146" t="str">
            <v> </v>
          </cell>
          <cell r="AO146" t="str">
            <v> </v>
          </cell>
          <cell r="AP146" t="str">
            <v> </v>
          </cell>
          <cell r="AQ146" t="str">
            <v> </v>
          </cell>
          <cell r="AR146" t="str">
            <v> </v>
          </cell>
          <cell r="AS146" t="str">
            <v> </v>
          </cell>
        </row>
        <row r="147">
          <cell r="AD147">
            <v>120</v>
          </cell>
          <cell r="AE147">
            <v>80</v>
          </cell>
          <cell r="AH147">
            <v>2400</v>
          </cell>
          <cell r="AJ147">
            <v>261.89427975040815</v>
          </cell>
          <cell r="AK147">
            <v>315.01913174021985</v>
          </cell>
          <cell r="AL147">
            <v>220.88720929277929</v>
          </cell>
          <cell r="AM147">
            <v>242.61603957944305</v>
          </cell>
          <cell r="AN147" t="str">
            <v> </v>
          </cell>
          <cell r="AO147" t="str">
            <v> </v>
          </cell>
          <cell r="AP147" t="str">
            <v> </v>
          </cell>
          <cell r="AQ147" t="str">
            <v> </v>
          </cell>
          <cell r="AR147" t="str">
            <v> </v>
          </cell>
          <cell r="AS147" t="str">
            <v> </v>
          </cell>
        </row>
        <row r="148">
          <cell r="AD148">
            <v>120</v>
          </cell>
          <cell r="AE148">
            <v>80</v>
          </cell>
          <cell r="AH148">
            <v>2400</v>
          </cell>
          <cell r="AJ148">
            <v>261.89427975040815</v>
          </cell>
          <cell r="AK148">
            <v>315.01913174021985</v>
          </cell>
          <cell r="AL148">
            <v>220.88720929277929</v>
          </cell>
          <cell r="AM148">
            <v>242.61603957944305</v>
          </cell>
          <cell r="AN148" t="str">
            <v> </v>
          </cell>
          <cell r="AO148" t="str">
            <v> </v>
          </cell>
          <cell r="AP148" t="str">
            <v> </v>
          </cell>
          <cell r="AQ148" t="str">
            <v> </v>
          </cell>
          <cell r="AR148" t="str">
            <v> </v>
          </cell>
          <cell r="AS148" t="str">
            <v> </v>
          </cell>
        </row>
        <row r="149">
          <cell r="AD149">
            <v>120</v>
          </cell>
          <cell r="AE149">
            <v>80</v>
          </cell>
          <cell r="AH149">
            <v>2400</v>
          </cell>
          <cell r="AJ149">
            <v>261.89427975040815</v>
          </cell>
          <cell r="AK149">
            <v>315.01913174021985</v>
          </cell>
          <cell r="AL149">
            <v>220.88720929277929</v>
          </cell>
          <cell r="AM149">
            <v>242.61603957944305</v>
          </cell>
          <cell r="AN149" t="str">
            <v> </v>
          </cell>
          <cell r="AO149" t="str">
            <v> </v>
          </cell>
          <cell r="AP149" t="str">
            <v> </v>
          </cell>
          <cell r="AQ149" t="str">
            <v> </v>
          </cell>
          <cell r="AR149" t="str">
            <v> </v>
          </cell>
          <cell r="AS149" t="str">
            <v> </v>
          </cell>
        </row>
        <row r="150">
          <cell r="AD150">
            <v>120</v>
          </cell>
          <cell r="AE150">
            <v>80</v>
          </cell>
          <cell r="AH150">
            <v>2400</v>
          </cell>
          <cell r="AJ150">
            <v>261.89427975040815</v>
          </cell>
          <cell r="AK150">
            <v>315.01913174021985</v>
          </cell>
          <cell r="AL150">
            <v>220.88720929277929</v>
          </cell>
          <cell r="AM150">
            <v>242.61603957944305</v>
          </cell>
          <cell r="AN150" t="str">
            <v> </v>
          </cell>
          <cell r="AO150" t="str">
            <v> </v>
          </cell>
          <cell r="AP150" t="str">
            <v> </v>
          </cell>
          <cell r="AQ150" t="str">
            <v> </v>
          </cell>
          <cell r="AR150" t="str">
            <v> </v>
          </cell>
          <cell r="AS150" t="str">
            <v> </v>
          </cell>
        </row>
        <row r="151">
          <cell r="AD151">
            <v>120</v>
          </cell>
          <cell r="AE151">
            <v>80</v>
          </cell>
          <cell r="AH151">
            <v>2400</v>
          </cell>
          <cell r="AJ151">
            <v>261.89427975040815</v>
          </cell>
          <cell r="AK151">
            <v>315.01913174021985</v>
          </cell>
          <cell r="AL151">
            <v>220.88720929277929</v>
          </cell>
          <cell r="AM151">
            <v>242.61603957944305</v>
          </cell>
          <cell r="AN151" t="str">
            <v> </v>
          </cell>
          <cell r="AO151" t="str">
            <v> </v>
          </cell>
          <cell r="AP151" t="str">
            <v> </v>
          </cell>
          <cell r="AQ151" t="str">
            <v> </v>
          </cell>
          <cell r="AR151" t="str">
            <v> </v>
          </cell>
          <cell r="AS151" t="str">
            <v> </v>
          </cell>
        </row>
        <row r="152">
          <cell r="AD152">
            <v>120</v>
          </cell>
          <cell r="AE152">
            <v>80</v>
          </cell>
          <cell r="AH152">
            <v>2400</v>
          </cell>
          <cell r="AJ152">
            <v>261.89427975040815</v>
          </cell>
          <cell r="AK152">
            <v>315.01913174021985</v>
          </cell>
          <cell r="AL152">
            <v>220.88720929277929</v>
          </cell>
          <cell r="AM152">
            <v>242.61603957944305</v>
          </cell>
          <cell r="AN152" t="str">
            <v> </v>
          </cell>
          <cell r="AO152" t="str">
            <v> </v>
          </cell>
          <cell r="AP152" t="str">
            <v> </v>
          </cell>
          <cell r="AQ152" t="str">
            <v> </v>
          </cell>
          <cell r="AR152" t="str">
            <v> </v>
          </cell>
          <cell r="AS152" t="str">
            <v> </v>
          </cell>
        </row>
        <row r="153">
          <cell r="AD153">
            <v>120</v>
          </cell>
          <cell r="AE153">
            <v>80</v>
          </cell>
          <cell r="AH153">
            <v>2400</v>
          </cell>
          <cell r="AJ153">
            <v>261.89427975040815</v>
          </cell>
          <cell r="AK153">
            <v>315.01913174021985</v>
          </cell>
          <cell r="AL153">
            <v>220.88720929277929</v>
          </cell>
          <cell r="AM153">
            <v>242.61603957944305</v>
          </cell>
          <cell r="AN153" t="str">
            <v> </v>
          </cell>
          <cell r="AO153" t="str">
            <v> </v>
          </cell>
          <cell r="AP153" t="str">
            <v> </v>
          </cell>
          <cell r="AQ153" t="str">
            <v> </v>
          </cell>
          <cell r="AR153" t="str">
            <v> </v>
          </cell>
          <cell r="AS153" t="str">
            <v> </v>
          </cell>
        </row>
        <row r="154">
          <cell r="AD154">
            <v>120</v>
          </cell>
          <cell r="AE154">
            <v>80</v>
          </cell>
          <cell r="AH154">
            <v>2400</v>
          </cell>
          <cell r="AJ154">
            <v>261.89427975040815</v>
          </cell>
          <cell r="AK154">
            <v>315.01913174021985</v>
          </cell>
          <cell r="AL154">
            <v>220.88720929277929</v>
          </cell>
          <cell r="AM154">
            <v>242.61603957944305</v>
          </cell>
          <cell r="AN154" t="str">
            <v> </v>
          </cell>
          <cell r="AO154" t="str">
            <v> </v>
          </cell>
          <cell r="AP154" t="str">
            <v> </v>
          </cell>
          <cell r="AQ154" t="str">
            <v> </v>
          </cell>
          <cell r="AR154" t="str">
            <v> </v>
          </cell>
          <cell r="AS154" t="str">
            <v> </v>
          </cell>
        </row>
        <row r="155">
          <cell r="AD155">
            <v>120</v>
          </cell>
          <cell r="AE155">
            <v>80</v>
          </cell>
          <cell r="AH155">
            <v>2400</v>
          </cell>
          <cell r="AJ155">
            <v>261.89427975040815</v>
          </cell>
          <cell r="AK155">
            <v>315.01913174021985</v>
          </cell>
          <cell r="AL155">
            <v>220.88720929277929</v>
          </cell>
          <cell r="AM155">
            <v>242.61603957944305</v>
          </cell>
          <cell r="AN155" t="str">
            <v> </v>
          </cell>
          <cell r="AO155" t="str">
            <v> </v>
          </cell>
          <cell r="AP155" t="str">
            <v> </v>
          </cell>
          <cell r="AQ155" t="str">
            <v> </v>
          </cell>
          <cell r="AR155" t="str">
            <v> </v>
          </cell>
          <cell r="AS155" t="str">
            <v> </v>
          </cell>
        </row>
        <row r="156">
          <cell r="AD156">
            <v>120</v>
          </cell>
          <cell r="AE156">
            <v>80</v>
          </cell>
          <cell r="AH156">
            <v>2400</v>
          </cell>
          <cell r="AJ156">
            <v>261.89427975040815</v>
          </cell>
          <cell r="AK156">
            <v>315.01913174021985</v>
          </cell>
          <cell r="AL156">
            <v>220.88720929277929</v>
          </cell>
          <cell r="AM156">
            <v>242.61603957944305</v>
          </cell>
          <cell r="AN156" t="str">
            <v> </v>
          </cell>
          <cell r="AO156" t="str">
            <v> </v>
          </cell>
          <cell r="AP156" t="str">
            <v> </v>
          </cell>
          <cell r="AQ156" t="str">
            <v> </v>
          </cell>
          <cell r="AR156" t="str">
            <v> </v>
          </cell>
          <cell r="AS156" t="str">
            <v> </v>
          </cell>
        </row>
      </sheetData>
      <sheetData sheetId="9" refreshError="1">
        <row r="3">
          <cell r="G3">
            <v>1.05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indexed="35"/>
    <outlinePr summaryBelow="1" summaryRight="1"/>
    <pageSetUpPr/>
  </sheetPr>
  <dimension ref="A1:BB337"/>
  <sheetViews>
    <sheetView showGridLines="0" tabSelected="1" view="pageBreakPreview" topLeftCell="A36" zoomScale="85" zoomScaleNormal="100" zoomScaleSheetLayoutView="85" workbookViewId="0">
      <selection activeCell="B13" sqref="B13:H13"/>
    </sheetView>
  </sheetViews>
  <sheetFormatPr baseColWidth="8" defaultColWidth="9" defaultRowHeight="15.6"/>
  <cols>
    <col width="1" customWidth="1" style="143" min="1" max="1"/>
    <col width="3.77734375" customWidth="1" style="3" min="2" max="2"/>
    <col width="3.44140625" customWidth="1" style="3" min="3" max="4"/>
    <col width="3.109375" customWidth="1" style="3" min="5" max="5"/>
    <col width="5" customWidth="1" style="3" min="6" max="6"/>
    <col width="4.21875" customWidth="1" style="3" min="7" max="7"/>
    <col width="4.77734375" customWidth="1" style="3" min="8" max="8"/>
    <col width="4.21875" customWidth="1" style="3" min="9" max="9"/>
    <col width="4.77734375" customWidth="1" style="3" min="10" max="10"/>
    <col width="4" customWidth="1" style="3" min="11" max="11"/>
    <col width="5.109375" customWidth="1" style="3" min="12" max="12"/>
    <col width="4.77734375" customWidth="1" style="3" min="13" max="13"/>
    <col width="4" customWidth="1" style="3" min="14" max="16"/>
    <col width="4.109375" customWidth="1" style="3" min="17" max="17"/>
    <col width="3.88671875" customWidth="1" style="3" min="18" max="18"/>
    <col width="5.21875" customWidth="1" style="3" min="19" max="19"/>
    <col width="4" customWidth="1" style="3" min="20" max="20"/>
    <col width="5.109375" customWidth="1" style="3" min="21" max="21"/>
    <col width="3.109375" customWidth="1" style="3" min="22" max="22"/>
    <col width="5.77734375" customWidth="1" style="3" min="23" max="23"/>
    <col width="5.109375" customWidth="1" style="3" min="24" max="24"/>
    <col width="4.44140625" customWidth="1" style="3" min="25" max="25"/>
    <col width="3.88671875" customWidth="1" style="3" min="26" max="26"/>
    <col width="2.109375" customWidth="1" style="3" min="27" max="27"/>
    <col width="52.33203125" customWidth="1" style="3" min="28" max="28"/>
    <col width="3.44140625" customWidth="1" style="3" min="29" max="30"/>
    <col width="0.109375" customWidth="1" style="3" min="31" max="31"/>
    <col width="4.77734375" customWidth="1" style="3" min="32" max="32"/>
    <col width="3.88671875" customWidth="1" style="3" min="33" max="48"/>
    <col width="3.6640625" customWidth="1" style="3" min="49" max="50"/>
    <col width="1.77734375" customWidth="1" style="3" min="51" max="51"/>
    <col width="3.44140625" customWidth="1" style="3" min="52" max="53"/>
    <col width="3.109375" customWidth="1" style="3" min="54" max="54"/>
    <col width="9" customWidth="1" style="3" min="55" max="16384"/>
  </cols>
  <sheetData>
    <row r="1" ht="14.25" customHeight="1" s="429">
      <c r="A1" s="1" t="n"/>
      <c r="B1" s="430" t="n"/>
      <c r="C1" s="431" t="n"/>
      <c r="D1" s="431" t="n"/>
      <c r="E1" s="431" t="n"/>
      <c r="F1" s="431" t="n"/>
      <c r="G1" s="431" t="n"/>
      <c r="H1" s="432" t="n"/>
      <c r="I1" s="433" t="inlineStr">
        <is>
          <t>FEAD Performance  Analysis Report</t>
        </is>
      </c>
      <c r="J1" s="431" t="n"/>
      <c r="K1" s="431" t="n"/>
      <c r="L1" s="431" t="n"/>
      <c r="M1" s="431" t="n"/>
      <c r="N1" s="431" t="n"/>
      <c r="O1" s="431" t="n"/>
      <c r="P1" s="431" t="n"/>
      <c r="Q1" s="431" t="n"/>
      <c r="R1" s="431" t="n"/>
      <c r="S1" s="431" t="n"/>
      <c r="T1" s="431" t="n"/>
      <c r="U1" s="431" t="n"/>
      <c r="V1" s="431" t="n"/>
      <c r="W1" s="431" t="n"/>
      <c r="X1" s="431" t="n"/>
      <c r="Y1" s="431" t="n"/>
      <c r="Z1" s="431" t="n"/>
      <c r="AA1" s="2" t="n"/>
      <c r="AC1" s="4" t="n"/>
      <c r="AD1" s="4" t="n"/>
      <c r="AE1" s="4" t="n"/>
      <c r="AF1" s="4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Z1" s="4" t="n"/>
      <c r="BA1" s="4" t="n"/>
      <c r="BB1" s="4" t="n"/>
    </row>
    <row r="2" ht="14.25" customHeight="1" s="429">
      <c r="A2" s="6" t="n"/>
      <c r="B2" s="434" t="n"/>
      <c r="H2" s="435" t="n"/>
      <c r="AA2" s="7" t="n"/>
      <c r="AC2" s="4" t="n"/>
      <c r="AD2" s="4" t="n"/>
      <c r="AE2" s="4" t="n"/>
      <c r="AF2" s="4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Z2" s="4" t="n"/>
      <c r="BA2" s="4" t="n"/>
      <c r="BB2" s="4" t="n"/>
    </row>
    <row r="3" ht="14.25" customHeight="1" s="429" thickBot="1">
      <c r="A3" s="6" t="n"/>
      <c r="B3" s="436" t="n"/>
      <c r="C3" s="437" t="n"/>
      <c r="D3" s="437" t="n"/>
      <c r="E3" s="437" t="n"/>
      <c r="F3" s="437" t="n"/>
      <c r="G3" s="437" t="n"/>
      <c r="H3" s="438" t="n"/>
      <c r="AA3" s="7" t="n"/>
      <c r="AC3" s="4" t="n"/>
      <c r="AD3" s="4" t="n"/>
      <c r="AE3" s="4" t="n"/>
      <c r="AF3" s="4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Z3" s="4" t="n"/>
      <c r="BA3" s="4" t="n"/>
      <c r="BB3" s="4" t="n"/>
    </row>
    <row r="4" ht="1.5" customHeight="1" s="429">
      <c r="A4" s="6" t="n"/>
      <c r="B4" s="8" t="n"/>
      <c r="C4" s="8" t="n"/>
      <c r="D4" s="8" t="n"/>
      <c r="E4" s="8" t="n"/>
      <c r="F4" s="8" t="n"/>
      <c r="G4" s="8" t="n"/>
      <c r="H4" s="8" t="n"/>
      <c r="I4" s="439" t="n"/>
      <c r="J4" s="439" t="n"/>
      <c r="K4" s="439" t="n"/>
      <c r="L4" s="439" t="n"/>
      <c r="M4" s="439" t="n"/>
      <c r="N4" s="439" t="n"/>
      <c r="O4" s="439" t="n"/>
      <c r="P4" s="439" t="n"/>
      <c r="Q4" s="439" t="n"/>
      <c r="R4" s="439" t="n"/>
      <c r="S4" s="439" t="n"/>
      <c r="T4" s="439" t="n"/>
      <c r="U4" s="439" t="n"/>
      <c r="V4" s="439" t="n"/>
      <c r="W4" s="439" t="n"/>
      <c r="X4" s="439" t="n"/>
      <c r="Y4" s="439" t="n"/>
      <c r="Z4" s="439" t="n"/>
      <c r="AA4" s="7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</row>
    <row r="5" ht="23.25" customHeight="1" s="429">
      <c r="A5" s="6" t="n"/>
      <c r="B5" s="421" t="inlineStr">
        <is>
          <t>File No. :</t>
        </is>
      </c>
      <c r="C5" s="440" t="n"/>
      <c r="D5" s="440" t="n"/>
      <c r="E5" s="413" t="n"/>
      <c r="F5" s="440" t="n"/>
      <c r="G5" s="440" t="n"/>
      <c r="H5" s="440" t="n"/>
      <c r="I5" s="412" t="inlineStr">
        <is>
          <t xml:space="preserve">Version : </t>
        </is>
      </c>
      <c r="J5" s="440" t="n"/>
      <c r="K5" s="440" t="n"/>
      <c r="L5" s="9" t="n"/>
      <c r="M5" s="418" t="n"/>
      <c r="N5" s="418" t="n"/>
      <c r="O5" s="414" t="inlineStr">
        <is>
          <t>Date :</t>
        </is>
      </c>
      <c r="P5" s="440" t="n"/>
      <c r="Q5" s="415">
        <f>TODAY()</f>
        <v/>
      </c>
      <c r="R5" s="440" t="n"/>
      <c r="S5" s="440" t="n"/>
      <c r="T5" s="440" t="n"/>
      <c r="U5" s="412" t="n"/>
      <c r="V5" s="440" t="n"/>
      <c r="W5" s="440" t="n"/>
      <c r="X5" s="441" t="n"/>
      <c r="Y5" s="440" t="n"/>
      <c r="Z5" s="11" t="n"/>
      <c r="AA5" s="7" t="n"/>
      <c r="AG5" s="12" t="n"/>
      <c r="AH5" s="12" t="n"/>
      <c r="AI5" s="13" t="n"/>
      <c r="AJ5" s="13" t="n"/>
      <c r="AK5" s="12" t="n"/>
      <c r="AL5" s="12" t="n"/>
      <c r="AM5" s="12" t="n"/>
      <c r="AN5" s="12" t="n"/>
      <c r="AO5" s="12" t="n"/>
      <c r="AP5" s="12" t="n"/>
      <c r="AQ5" s="14" t="n"/>
      <c r="AR5" s="12" t="n"/>
      <c r="AS5" s="12" t="n"/>
      <c r="AT5" s="12" t="n"/>
      <c r="AU5" s="12" t="n"/>
      <c r="AV5" s="12" t="n"/>
      <c r="AW5" s="15" t="n"/>
      <c r="AX5" s="15" t="n"/>
    </row>
    <row r="6" ht="5.25" customHeight="1" s="429">
      <c r="A6" s="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Z6" s="17" t="n"/>
      <c r="BA6" s="17" t="n"/>
      <c r="BB6" s="17" t="n"/>
    </row>
    <row r="7" ht="11.25" customHeight="1" s="429">
      <c r="A7" s="6" t="n"/>
      <c r="B7" s="164" t="inlineStr">
        <is>
          <t>Project Information</t>
        </is>
      </c>
      <c r="W7" s="16" t="n"/>
      <c r="X7" s="16" t="n"/>
      <c r="Y7" s="16" t="n"/>
      <c r="Z7" s="16" t="n"/>
      <c r="AA7" s="7" t="n"/>
      <c r="AC7" s="17" t="n"/>
      <c r="AD7" s="17" t="n"/>
      <c r="AE7" s="17" t="n"/>
      <c r="AF7" s="17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7" t="n"/>
      <c r="AV7" s="17" t="n"/>
      <c r="AW7" s="17" t="n"/>
      <c r="AX7" s="17" t="n"/>
      <c r="AZ7" s="17" t="n"/>
      <c r="BA7" s="17" t="n"/>
      <c r="BB7" s="17" t="n"/>
    </row>
    <row r="8" ht="12" customHeight="1" s="429">
      <c r="A8" s="6" t="n"/>
      <c r="W8" s="16" t="n"/>
      <c r="X8" s="208" t="n"/>
      <c r="Z8" s="20" t="n"/>
      <c r="AA8" s="7" t="n"/>
      <c r="AC8" s="17" t="n"/>
      <c r="AD8" s="17" t="n"/>
      <c r="AE8" s="17" t="n"/>
      <c r="AF8" s="17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7" t="n"/>
      <c r="AV8" s="17" t="n"/>
      <c r="AW8" s="17" t="n"/>
      <c r="AX8" s="17" t="n"/>
      <c r="AZ8" s="17" t="n"/>
      <c r="BA8" s="17" t="n"/>
      <c r="BB8" s="17" t="n"/>
    </row>
    <row r="9" ht="6" customHeight="1" s="429">
      <c r="A9" s="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Z9" s="17" t="n"/>
      <c r="BA9" s="17" t="n"/>
      <c r="BB9" s="17" t="n"/>
    </row>
    <row r="10" ht="19.5" customHeight="1" s="429">
      <c r="A10" s="6" t="n"/>
      <c r="B10" s="396" t="inlineStr">
        <is>
          <t>Client :</t>
        </is>
      </c>
      <c r="C10" s="440" t="n"/>
      <c r="D10" s="440" t="n"/>
      <c r="E10" s="442" t="n"/>
      <c r="F10" s="396" t="n"/>
      <c r="G10" s="440" t="n"/>
      <c r="H10" s="440" t="n"/>
      <c r="I10" s="440" t="n"/>
      <c r="J10" s="440" t="n"/>
      <c r="K10" s="442" t="n"/>
      <c r="L10" s="397" t="inlineStr">
        <is>
          <t>Project:</t>
        </is>
      </c>
      <c r="M10" s="440" t="n"/>
      <c r="N10" s="440" t="n"/>
      <c r="O10" s="440" t="n"/>
      <c r="P10" s="440" t="n"/>
      <c r="Q10" s="442" t="n"/>
      <c r="R10" s="398" t="n"/>
      <c r="S10" s="440" t="n"/>
      <c r="T10" s="440" t="n"/>
      <c r="U10" s="440" t="n"/>
      <c r="V10" s="440" t="n"/>
      <c r="W10" s="440" t="n"/>
      <c r="X10" s="440" t="n"/>
      <c r="Y10" s="440" t="n"/>
      <c r="Z10" s="442" t="n"/>
      <c r="AA10" s="21" t="n"/>
      <c r="AB10" s="22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Z10" s="17" t="n"/>
      <c r="BA10" s="17" t="n"/>
      <c r="BB10" s="17" t="n"/>
    </row>
    <row r="11" ht="19.5" customHeight="1" s="429">
      <c r="A11" s="6" t="n"/>
      <c r="B11" s="395" t="inlineStr">
        <is>
          <t>Number of engine cylinders：</t>
        </is>
      </c>
      <c r="C11" s="440" t="n"/>
      <c r="D11" s="440" t="n"/>
      <c r="E11" s="440" t="n"/>
      <c r="F11" s="440" t="n"/>
      <c r="G11" s="440" t="n"/>
      <c r="H11" s="440" t="n"/>
      <c r="I11" s="442" t="n"/>
      <c r="J11" s="395">
        <f>IF([2]初始输入!C12="","",[2]初始输入!C12)</f>
        <v/>
      </c>
      <c r="K11" s="442" t="n"/>
      <c r="L11" s="393" t="inlineStr">
        <is>
          <t>Engine power</t>
        </is>
      </c>
      <c r="M11" s="440" t="n"/>
      <c r="N11" s="440" t="n"/>
      <c r="O11" s="440" t="n"/>
      <c r="P11" s="440" t="n"/>
      <c r="Q11" s="442" t="n"/>
      <c r="R11" s="395">
        <f>IF([2]初始输入!C13="","",[2]初始输入!C13)</f>
        <v/>
      </c>
      <c r="S11" s="440" t="n"/>
      <c r="T11" s="440" t="n"/>
      <c r="U11" s="440" t="n"/>
      <c r="V11" s="440" t="n"/>
      <c r="W11" s="440" t="n"/>
      <c r="X11" s="440" t="n"/>
      <c r="Y11" s="440" t="n"/>
      <c r="Z11" s="442" t="n"/>
      <c r="AA11" s="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Z11" s="17" t="n"/>
      <c r="BA11" s="17" t="n"/>
      <c r="BB11" s="17" t="n"/>
    </row>
    <row r="12" ht="37.5" customHeight="1" s="429">
      <c r="A12" s="6" t="n"/>
      <c r="B12" s="393" t="inlineStr">
        <is>
          <t>Problem Statement :</t>
        </is>
      </c>
      <c r="C12" s="440" t="n"/>
      <c r="D12" s="440" t="n"/>
      <c r="E12" s="440" t="n"/>
      <c r="F12" s="440" t="n"/>
      <c r="G12" s="440" t="n"/>
      <c r="H12" s="442" t="n"/>
      <c r="I12" s="443" t="n"/>
      <c r="J12" s="440" t="n"/>
      <c r="K12" s="440" t="n"/>
      <c r="L12" s="440" t="n"/>
      <c r="M12" s="440" t="n"/>
      <c r="N12" s="440" t="n"/>
      <c r="O12" s="440" t="n"/>
      <c r="P12" s="440" t="n"/>
      <c r="Q12" s="440" t="n"/>
      <c r="R12" s="440" t="n"/>
      <c r="S12" s="440" t="n"/>
      <c r="T12" s="440" t="n"/>
      <c r="U12" s="440" t="n"/>
      <c r="V12" s="440" t="n"/>
      <c r="W12" s="440" t="n"/>
      <c r="X12" s="440" t="n"/>
      <c r="Y12" s="440" t="n"/>
      <c r="Z12" s="442" t="n"/>
      <c r="AA12" s="7" t="n"/>
      <c r="AC12" s="17" t="n"/>
      <c r="AD12" s="17" t="n"/>
      <c r="AE12" s="24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Z12" s="17" t="n"/>
      <c r="BA12" s="17" t="n"/>
      <c r="BB12" s="17" t="n"/>
    </row>
    <row r="13" ht="48" customHeight="1" s="429">
      <c r="A13" s="6" t="n"/>
      <c r="B13" s="393" t="inlineStr">
        <is>
          <t>Analysis Reference :</t>
        </is>
      </c>
      <c r="C13" s="440" t="n"/>
      <c r="D13" s="440" t="n"/>
      <c r="E13" s="440" t="n"/>
      <c r="F13" s="440" t="n"/>
      <c r="G13" s="440" t="n"/>
      <c r="H13" s="442" t="n"/>
      <c r="I13" s="444" t="n"/>
      <c r="J13" s="440" t="n"/>
      <c r="K13" s="440" t="n"/>
      <c r="L13" s="440" t="n"/>
      <c r="M13" s="440" t="n"/>
      <c r="N13" s="440" t="n"/>
      <c r="O13" s="440" t="n"/>
      <c r="P13" s="440" t="n"/>
      <c r="Q13" s="440" t="n"/>
      <c r="R13" s="440" t="n"/>
      <c r="S13" s="440" t="n"/>
      <c r="T13" s="440" t="n"/>
      <c r="U13" s="440" t="n"/>
      <c r="V13" s="440" t="n"/>
      <c r="W13" s="440" t="n"/>
      <c r="X13" s="440" t="n"/>
      <c r="Y13" s="440" t="n"/>
      <c r="Z13" s="442" t="n"/>
      <c r="AA13" s="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Z13" s="17" t="n"/>
      <c r="BA13" s="17" t="n"/>
      <c r="BB13" s="17" t="n"/>
    </row>
    <row r="14" ht="22.5" customHeight="1" s="429">
      <c r="A14" s="6" t="n"/>
      <c r="B14" s="25" t="n"/>
      <c r="C14" s="25" t="inlineStr">
        <is>
          <t>Layout Data (input)</t>
        </is>
      </c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U14" s="25" t="n"/>
      <c r="V14" s="25" t="n"/>
      <c r="W14" s="25" t="n"/>
      <c r="X14" s="25" t="n"/>
      <c r="Y14" s="25" t="n"/>
      <c r="Z14" s="25" t="n"/>
      <c r="AA14" s="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Z14" s="17" t="n"/>
      <c r="BA14" s="17" t="n"/>
      <c r="BB14" s="17" t="n"/>
    </row>
    <row r="15" ht="4.5" customHeight="1" s="429">
      <c r="A15" s="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Z15" s="17" t="n"/>
      <c r="BA15" s="17" t="n"/>
      <c r="BB15" s="17" t="n"/>
    </row>
    <row r="16" ht="20.1" customHeight="1" s="429">
      <c r="A16" s="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26" t="n"/>
      <c r="W16" s="26" t="n"/>
      <c r="X16" s="26" t="n"/>
      <c r="Y16" s="26" t="n"/>
      <c r="Z16" s="16" t="n"/>
      <c r="AA16" s="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Z16" s="17" t="n"/>
      <c r="BA16" s="17" t="n"/>
      <c r="BB16" s="17" t="n"/>
    </row>
    <row r="17" ht="20.1" customHeight="1" s="429">
      <c r="A17" s="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26" t="n"/>
      <c r="W17" s="26" t="n"/>
      <c r="X17" s="26" t="n"/>
      <c r="Y17" s="26" t="n"/>
      <c r="Z17" s="16" t="n"/>
      <c r="AA17" s="21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Z17" s="17" t="n"/>
      <c r="BA17" s="17" t="n"/>
      <c r="BB17" s="17" t="n"/>
    </row>
    <row r="18" ht="20.1" customHeight="1" s="429">
      <c r="A18" s="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26" t="n"/>
      <c r="W18" s="26" t="n"/>
      <c r="X18" s="26" t="n"/>
      <c r="Y18" s="26" t="n"/>
      <c r="Z18" s="16" t="n"/>
      <c r="AA18" s="21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Z18" s="17" t="n"/>
      <c r="BA18" s="17" t="n"/>
      <c r="BB18" s="17" t="n"/>
    </row>
    <row r="19" ht="20.1" customHeight="1" s="429">
      <c r="A19" s="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26" t="n"/>
      <c r="W19" s="26" t="n"/>
      <c r="X19" s="26" t="n"/>
      <c r="Y19" s="26" t="n"/>
      <c r="Z19" s="16" t="n"/>
      <c r="AA19" s="21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Z19" s="17" t="n"/>
      <c r="BA19" s="17" t="n"/>
      <c r="BB19" s="17" t="n"/>
    </row>
    <row r="20" ht="20.1" customHeight="1" s="429">
      <c r="A20" s="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26" t="n"/>
      <c r="W20" s="26" t="n"/>
      <c r="X20" s="26" t="n"/>
      <c r="Y20" s="26" t="n"/>
      <c r="Z20" s="16" t="n"/>
      <c r="AA20" s="21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Z20" s="17" t="n"/>
      <c r="BA20" s="17" t="n"/>
      <c r="BB20" s="17" t="n"/>
    </row>
    <row r="21" ht="20.1" customHeight="1" s="429">
      <c r="A21" s="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26" t="n"/>
      <c r="W21" s="26" t="n"/>
      <c r="X21" s="26" t="n"/>
      <c r="Y21" s="26" t="n"/>
      <c r="Z21" s="16" t="n"/>
      <c r="AA21" s="21" t="n"/>
      <c r="AE21" s="17" t="n"/>
      <c r="AF21" s="17" t="n"/>
      <c r="AG21" s="17" t="n"/>
      <c r="AH21" s="2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Z21" s="17" t="n"/>
      <c r="BA21" s="17" t="n"/>
      <c r="BB21" s="17" t="n"/>
    </row>
    <row r="22" ht="20.1" customHeight="1" s="429">
      <c r="A22" s="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26" t="n"/>
      <c r="W22" s="26" t="n"/>
      <c r="X22" s="26" t="n"/>
      <c r="Y22" s="26" t="n"/>
      <c r="Z22" s="16" t="n"/>
      <c r="AA22" s="21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Z22" s="17" t="n"/>
      <c r="BA22" s="17" t="n"/>
      <c r="BB22" s="17" t="n"/>
    </row>
    <row r="23" ht="20.1" customHeight="1" s="429">
      <c r="A23" s="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26" t="n"/>
      <c r="W23" s="26" t="n"/>
      <c r="X23" s="26" t="n"/>
      <c r="Y23" s="26" t="n"/>
      <c r="Z23" s="16" t="n"/>
      <c r="AA23" s="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Z23" s="17" t="n"/>
      <c r="BA23" s="17" t="n"/>
      <c r="BB23" s="17" t="n"/>
    </row>
    <row r="24" ht="20.1" customHeight="1" s="429">
      <c r="A24" s="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26" t="n"/>
      <c r="W24" s="26" t="n"/>
      <c r="X24" s="26" t="n"/>
      <c r="Y24" s="26" t="n"/>
      <c r="Z24" s="16" t="n"/>
      <c r="AA24" s="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Z24" s="17" t="n"/>
      <c r="BA24" s="17" t="n"/>
      <c r="BB24" s="17" t="n"/>
    </row>
    <row r="25" ht="20.1" customHeight="1" s="429">
      <c r="A25" s="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26" t="n"/>
      <c r="W25" s="26" t="n"/>
      <c r="X25" s="26" t="n"/>
      <c r="Y25" s="26" t="n"/>
      <c r="AA25" s="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Z25" s="17" t="n"/>
      <c r="BA25" s="17" t="n"/>
      <c r="BB25" s="17" t="n"/>
    </row>
    <row r="26" ht="20.1" customHeight="1" s="429">
      <c r="A26" s="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Z26" s="17" t="n"/>
      <c r="BA26" s="17" t="n"/>
      <c r="BB26" s="17" t="n"/>
    </row>
    <row r="27" ht="20.1" customHeight="1" s="429">
      <c r="A27" s="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7" t="inlineStr">
        <is>
          <t> </t>
        </is>
      </c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Z27" s="17" t="n"/>
      <c r="BA27" s="17" t="n"/>
      <c r="BB27" s="17" t="n"/>
    </row>
    <row r="28" ht="20.1" customHeight="1" s="429">
      <c r="A28" s="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Z28" s="17" t="n"/>
      <c r="BA28" s="17" t="n"/>
      <c r="BB28" s="17" t="n"/>
    </row>
    <row r="29" ht="20.1" customHeight="1" s="429">
      <c r="A29" s="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Z29" s="17" t="n"/>
      <c r="BA29" s="17" t="n"/>
      <c r="BB29" s="17" t="n"/>
    </row>
    <row r="30" ht="11.25" customHeight="1" s="429">
      <c r="A30" s="6" t="n"/>
      <c r="B30" s="28" t="n"/>
      <c r="C30" s="164" t="inlineStr">
        <is>
          <t>Geometry Analysis (Input）</t>
        </is>
      </c>
      <c r="X30" s="16" t="n"/>
      <c r="Y30" s="16" t="n"/>
      <c r="Z30" s="16" t="n"/>
      <c r="AA30" s="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Z30" s="17" t="n"/>
      <c r="BA30" s="17" t="n"/>
      <c r="BB30" s="17" t="n"/>
    </row>
    <row r="31" ht="12" customHeight="1" s="429">
      <c r="A31" s="6" t="n"/>
      <c r="B31" s="28" t="n"/>
      <c r="X31" s="208" t="n"/>
      <c r="Z31" s="29" t="n"/>
      <c r="AA31" s="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inlineStr">
        <is>
          <t> </t>
        </is>
      </c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Z31" s="17" t="n"/>
      <c r="BA31" s="17" t="n"/>
      <c r="BB31" s="17" t="n"/>
    </row>
    <row r="32" ht="4.5" customHeight="1" s="429">
      <c r="A32" s="6" t="n"/>
      <c r="B32" s="16" t="n"/>
      <c r="X32" s="16" t="n"/>
      <c r="Y32" s="16" t="n"/>
      <c r="Z32" s="16" t="n"/>
      <c r="AA32" s="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Z32" s="17" t="n"/>
      <c r="BA32" s="17" t="n"/>
      <c r="BB32" s="17" t="n"/>
    </row>
    <row r="33" ht="20.4" customHeight="1" s="429">
      <c r="A33" s="6" t="n"/>
      <c r="B33" s="16" t="n"/>
      <c r="C33" s="165" t="inlineStr">
        <is>
          <t xml:space="preserve"> Belt Data (input)</t>
        </is>
      </c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Z33" s="17" t="n"/>
      <c r="BA33" s="17" t="n"/>
      <c r="BB33" s="17" t="n"/>
    </row>
    <row r="34" ht="8.25" customHeight="1" s="429">
      <c r="A34" s="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Z34" s="17" t="n"/>
      <c r="BA34" s="17" t="n"/>
      <c r="BB34" s="17" t="n"/>
    </row>
    <row r="35">
      <c r="A35" s="6" t="n"/>
      <c r="B35" s="16" t="n"/>
      <c r="C35" s="394" t="inlineStr">
        <is>
          <t>Belt name :</t>
        </is>
      </c>
      <c r="D35" s="440" t="n"/>
      <c r="E35" s="440" t="n"/>
      <c r="F35" s="440" t="n"/>
      <c r="G35" s="440" t="n"/>
      <c r="H35" s="442" t="n"/>
      <c r="I35" s="31" t="n"/>
      <c r="J35" s="293" t="inlineStr">
        <is>
          <t>Multi- V Belt</t>
        </is>
      </c>
      <c r="K35" s="440" t="n"/>
      <c r="L35" s="440" t="n"/>
      <c r="M35" s="32" t="n"/>
      <c r="N35" s="16" t="n"/>
      <c r="O35" s="394" t="inlineStr">
        <is>
          <t>Geometric Dimension :</t>
        </is>
      </c>
      <c r="P35" s="440" t="n"/>
      <c r="Q35" s="440" t="n"/>
      <c r="R35" s="440" t="n"/>
      <c r="S35" s="440" t="n"/>
      <c r="T35" s="440" t="n"/>
      <c r="U35" s="440" t="n"/>
      <c r="V35" s="440" t="n"/>
      <c r="W35" s="440" t="n"/>
      <c r="X35" s="442" t="n"/>
      <c r="Y35" s="16" t="n"/>
      <c r="Z35" s="16" t="n"/>
      <c r="AA35" s="7" t="n"/>
      <c r="AC35" s="17" t="n"/>
      <c r="AD35" s="17" t="n"/>
      <c r="AE35" s="17" t="n"/>
      <c r="AF35" s="33" t="n"/>
      <c r="AG35" s="34" t="n"/>
      <c r="AH35" s="389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Z35" s="17" t="n"/>
      <c r="BA35" s="17" t="n"/>
      <c r="BB35" s="17" t="n"/>
    </row>
    <row r="36">
      <c r="A36" s="6" t="n"/>
      <c r="B36" s="16" t="n"/>
      <c r="C36" s="445" t="inlineStr">
        <is>
          <t xml:space="preserve">Belt rib Geometry type : </t>
        </is>
      </c>
      <c r="D36" s="440" t="n"/>
      <c r="E36" s="440" t="n"/>
      <c r="F36" s="440" t="n"/>
      <c r="G36" s="440" t="n"/>
      <c r="H36" s="442" t="n"/>
      <c r="I36" s="224" t="n"/>
      <c r="J36" s="440" t="n"/>
      <c r="K36" s="418" t="inlineStr">
        <is>
          <t>/</t>
        </is>
      </c>
      <c r="L36" s="227" t="n"/>
      <c r="M36" s="442" t="n"/>
      <c r="N36" s="36" t="n"/>
      <c r="O36" s="446" t="inlineStr">
        <is>
          <t>Belt Height :</t>
        </is>
      </c>
      <c r="P36" s="439" t="n"/>
      <c r="Q36" s="439" t="n"/>
      <c r="R36" s="439" t="n"/>
      <c r="S36" s="439" t="n"/>
      <c r="T36" s="447" t="n"/>
      <c r="U36" s="448" t="n"/>
      <c r="V36" s="440" t="n"/>
      <c r="W36" s="392" t="inlineStr">
        <is>
          <t>[mm]</t>
        </is>
      </c>
      <c r="X36" s="447" t="n"/>
      <c r="Y36" s="16" t="n"/>
      <c r="Z36" s="16" t="n"/>
      <c r="AA36" s="7" t="n"/>
      <c r="AC36" s="17" t="n"/>
      <c r="AD36" s="17" t="n"/>
      <c r="AE36" s="17" t="n"/>
      <c r="AF36" s="33" t="n"/>
      <c r="AG36" s="34" t="n"/>
      <c r="AH36" s="389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Z36" s="17" t="n"/>
      <c r="BA36" s="17" t="n"/>
      <c r="BB36" s="17" t="n"/>
    </row>
    <row r="37">
      <c r="A37" s="6" t="n"/>
      <c r="B37" s="16" t="n"/>
      <c r="C37" s="394" t="inlineStr">
        <is>
          <t>No.of Ribs/Cord Material:</t>
        </is>
      </c>
      <c r="D37" s="440" t="n"/>
      <c r="E37" s="440" t="n"/>
      <c r="F37" s="440" t="n"/>
      <c r="G37" s="440" t="n"/>
      <c r="H37" s="442" t="n"/>
      <c r="I37" s="419" t="n"/>
      <c r="J37" s="440" t="n"/>
      <c r="K37" s="417" t="inlineStr">
        <is>
          <t>/</t>
        </is>
      </c>
      <c r="L37" s="339" t="n"/>
      <c r="M37" s="442" t="n"/>
      <c r="N37" s="16" t="n"/>
      <c r="O37" s="394" t="inlineStr">
        <is>
          <t>Belt Flat to Pitch :</t>
        </is>
      </c>
      <c r="P37" s="440" t="n"/>
      <c r="Q37" s="440" t="n"/>
      <c r="R37" s="440" t="n"/>
      <c r="S37" s="440" t="n"/>
      <c r="T37" s="442" t="n"/>
      <c r="U37" s="449" t="n"/>
      <c r="V37" s="440" t="n"/>
      <c r="W37" s="339" t="inlineStr">
        <is>
          <t>[mm]</t>
        </is>
      </c>
      <c r="X37" s="442" t="n"/>
      <c r="Y37" s="16" t="n"/>
      <c r="Z37" s="16" t="n"/>
      <c r="AA37" s="7" t="n"/>
      <c r="AC37" s="17" t="n"/>
      <c r="AD37" s="17" t="n"/>
      <c r="AE37" s="17" t="n"/>
      <c r="AF37" s="33" t="n"/>
      <c r="AG37" s="34" t="n"/>
      <c r="AH37" s="33" t="n"/>
      <c r="AI37" s="33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Z37" s="17" t="n"/>
      <c r="BA37" s="17" t="n"/>
      <c r="BB37" s="17" t="n"/>
    </row>
    <row r="38">
      <c r="A38" s="6" t="n"/>
      <c r="B38" s="16" t="n"/>
      <c r="C38" s="445" t="inlineStr">
        <is>
          <t>Stretch and Wear Allow :</t>
        </is>
      </c>
      <c r="D38" s="440" t="n"/>
      <c r="E38" s="440" t="n"/>
      <c r="F38" s="440" t="n"/>
      <c r="G38" s="440" t="n"/>
      <c r="H38" s="442" t="n"/>
      <c r="I38" s="450" t="n"/>
      <c r="J38" s="440" t="n"/>
      <c r="K38" s="227" t="inlineStr">
        <is>
          <t>%  of Length</t>
        </is>
      </c>
      <c r="L38" s="440" t="n"/>
      <c r="M38" s="442" t="n"/>
      <c r="N38" s="36" t="n"/>
      <c r="O38" s="445" t="inlineStr">
        <is>
          <t>Belt Pitch to Effective :</t>
        </is>
      </c>
      <c r="P38" s="440" t="n"/>
      <c r="Q38" s="440" t="n"/>
      <c r="R38" s="440" t="n"/>
      <c r="S38" s="440" t="n"/>
      <c r="T38" s="442" t="n"/>
      <c r="U38" s="448" t="n"/>
      <c r="V38" s="440" t="n"/>
      <c r="W38" s="227" t="inlineStr">
        <is>
          <t>[mm]</t>
        </is>
      </c>
      <c r="X38" s="442" t="n"/>
      <c r="Y38" s="16" t="n"/>
      <c r="Z38" s="16" t="n"/>
      <c r="AA38" s="7" t="n"/>
      <c r="AC38" s="17" t="n"/>
      <c r="AD38" s="17" t="n"/>
      <c r="AE38" s="17" t="n"/>
      <c r="AF38" s="33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Z38" s="17" t="n"/>
      <c r="BA38" s="17" t="n"/>
      <c r="BB38" s="17" t="n"/>
    </row>
    <row r="39" ht="12" customHeight="1" s="429">
      <c r="A39" s="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7" t="n"/>
      <c r="AC39" s="17" t="n"/>
      <c r="AD39" s="38" t="n"/>
      <c r="AE39" s="17" t="n"/>
      <c r="AF39" s="17" t="n"/>
      <c r="AG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Z39" s="17" t="n"/>
      <c r="BA39" s="17" t="n"/>
      <c r="BB39" s="17" t="n"/>
    </row>
    <row r="40" ht="20.4" customHeight="1" s="429">
      <c r="A40" s="6" t="n"/>
      <c r="B40" s="16" t="n"/>
      <c r="C40" s="165" t="inlineStr">
        <is>
          <t>Tensioner Data (input)</t>
        </is>
      </c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Z40" s="17" t="n"/>
      <c r="BA40" s="17" t="n"/>
      <c r="BB40" s="17" t="n"/>
    </row>
    <row r="41" ht="8.25" customHeight="1" s="429">
      <c r="A41" s="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7" t="n"/>
      <c r="AC41" s="17" t="inlineStr">
        <is>
          <t>  </t>
        </is>
      </c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Z41" s="17" t="n"/>
      <c r="BA41" s="17" t="n"/>
      <c r="BB41" s="17" t="n"/>
    </row>
    <row r="42" ht="15" customHeight="1" s="429">
      <c r="A42" s="6" t="n"/>
      <c r="B42" s="16" t="n"/>
      <c r="C42" s="394" t="inlineStr">
        <is>
          <t>Tensioner Type :</t>
        </is>
      </c>
      <c r="D42" s="440" t="n"/>
      <c r="E42" s="440" t="n"/>
      <c r="F42" s="440" t="n"/>
      <c r="G42" s="440" t="n"/>
      <c r="H42" s="442" t="n"/>
      <c r="I42" s="248" t="n"/>
      <c r="J42" s="440" t="n"/>
      <c r="K42" s="440" t="n"/>
      <c r="L42" s="440" t="n"/>
      <c r="M42" s="442" t="n"/>
      <c r="N42" s="16" t="n"/>
      <c r="O42" s="394">
        <f>IF([2]Input!F17="YES","Tensioner Arm Length :","Tensioner Line Length :")</f>
        <v/>
      </c>
      <c r="P42" s="440" t="n"/>
      <c r="Q42" s="440" t="n"/>
      <c r="R42" s="440" t="n"/>
      <c r="S42" s="440" t="n"/>
      <c r="T42" s="442" t="n"/>
      <c r="U42" s="451" t="n"/>
      <c r="V42" s="440" t="n"/>
      <c r="W42" s="339" t="inlineStr">
        <is>
          <t>[mm]</t>
        </is>
      </c>
      <c r="X42" s="442" t="n"/>
      <c r="Y42" s="16" t="n"/>
      <c r="Z42" s="16" t="n"/>
      <c r="AA42" s="7" t="n"/>
      <c r="AC42" s="17" t="n"/>
      <c r="AD42" s="17" t="n"/>
      <c r="AE42" s="17" t="n"/>
      <c r="AF42" s="378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Z42" s="17" t="n"/>
      <c r="BA42" s="17" t="n"/>
      <c r="BB42" s="17" t="n"/>
    </row>
    <row r="43">
      <c r="A43" s="6" t="n"/>
      <c r="B43" s="16" t="n"/>
      <c r="C43" s="445">
        <f>IF([2]Input!F17="YES","Pivot Point {x,y} [mm] :","Starting Point {x,y} [mm] :")</f>
        <v/>
      </c>
      <c r="D43" s="440" t="n"/>
      <c r="E43" s="440" t="n"/>
      <c r="F43" s="440" t="n"/>
      <c r="G43" s="440" t="n"/>
      <c r="H43" s="442" t="n"/>
      <c r="I43" s="452" t="n"/>
      <c r="J43" s="440" t="n"/>
      <c r="K43" s="440" t="n"/>
      <c r="L43" s="453" t="n"/>
      <c r="M43" s="442" t="n"/>
      <c r="N43" s="36" t="n"/>
      <c r="O43" s="445">
        <f>IF([2]Input!F17="YES","Tensioner Arm Angle :","Ending Point {x,y} [mm] :")</f>
        <v/>
      </c>
      <c r="P43" s="440" t="n"/>
      <c r="Q43" s="440" t="n"/>
      <c r="R43" s="440" t="n"/>
      <c r="S43" s="440" t="n"/>
      <c r="T43" s="442" t="n"/>
      <c r="U43" s="454" t="n"/>
      <c r="V43" s="440" t="n"/>
      <c r="W43" s="453">
        <f>IF([2]Input!F17="YES","[deg]",ROUND([2]Input!E44,2))</f>
        <v/>
      </c>
      <c r="X43" s="442" t="n"/>
      <c r="Y43" s="16" t="n"/>
      <c r="Z43" s="16" t="n"/>
      <c r="AA43" s="7" t="n"/>
      <c r="AC43" s="17" t="n"/>
      <c r="AD43" s="17" t="n"/>
      <c r="AE43" s="17" t="n"/>
      <c r="AF43" s="378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Z43" s="17" t="n"/>
      <c r="BA43" s="17" t="n"/>
      <c r="BB43" s="17" t="n"/>
    </row>
    <row r="44">
      <c r="A44" s="6" t="n"/>
      <c r="B44" s="16" t="n"/>
      <c r="C44" s="394" t="inlineStr">
        <is>
          <t>Belt Design Tension [N] :</t>
        </is>
      </c>
      <c r="D44" s="440" t="n"/>
      <c r="E44" s="440" t="n"/>
      <c r="F44" s="440" t="n"/>
      <c r="G44" s="440" t="n"/>
      <c r="H44" s="442" t="n"/>
      <c r="I44" s="455" t="n"/>
      <c r="J44" s="440" t="n"/>
      <c r="K44" s="417" t="inlineStr">
        <is>
          <t>N  (</t>
        </is>
      </c>
      <c r="L44" s="456">
        <f>I44/(9.8*0.454)</f>
        <v/>
      </c>
      <c r="M44" s="32" t="inlineStr">
        <is>
          <t>Ib  )</t>
        </is>
      </c>
      <c r="N44" s="16" t="n"/>
      <c r="O44" s="394">
        <f>IF([2]Input!F17="YES","Spring Rate Factor :","Nominal Point {x,y} [mm] :")</f>
        <v/>
      </c>
      <c r="P44" s="440" t="n"/>
      <c r="Q44" s="440" t="n"/>
      <c r="R44" s="440" t="n"/>
      <c r="S44" s="440" t="n"/>
      <c r="T44" s="442" t="n"/>
      <c r="U44" s="457" t="n"/>
      <c r="V44" s="440" t="n"/>
      <c r="W44" s="339">
        <f>IF([2]Input!F17="YES","[Nm/deg]",ROUND([2]Input!G44,2))</f>
        <v/>
      </c>
      <c r="X44" s="442" t="n"/>
      <c r="Y44" s="16" t="n"/>
      <c r="Z44" s="16" t="n"/>
      <c r="AA44" s="7" t="n"/>
      <c r="AC44" s="17" t="n"/>
      <c r="AD44" s="17" t="n"/>
      <c r="AE44" s="17" t="n"/>
      <c r="AF44" s="378" t="n"/>
      <c r="AG44" s="378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Z44" s="17" t="n"/>
      <c r="BA44" s="17" t="n"/>
      <c r="BB44" s="17" t="n"/>
    </row>
    <row r="45" ht="12" customHeight="1" s="429">
      <c r="A45" s="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Z45" s="17" t="n"/>
      <c r="BA45" s="17" t="n"/>
      <c r="BB45" s="17" t="n"/>
    </row>
    <row r="46" ht="22.5" customHeight="1" s="429">
      <c r="A46" s="6" t="n"/>
      <c r="B46" s="16" t="n"/>
      <c r="C46" s="165" t="inlineStr">
        <is>
          <t>Layout Data (input)</t>
        </is>
      </c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Z46" s="17" t="n"/>
      <c r="BA46" s="17" t="n"/>
      <c r="BB46" s="17" t="n"/>
    </row>
    <row r="47" ht="9" customHeight="1" s="429">
      <c r="A47" s="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Z47" s="17" t="n"/>
      <c r="BA47" s="17" t="n"/>
      <c r="BB47" s="17" t="n"/>
    </row>
    <row r="48" ht="18" customHeight="1" s="429">
      <c r="A48" s="6" t="n"/>
      <c r="B48" s="16" t="n"/>
      <c r="C48" s="248" t="inlineStr">
        <is>
          <t>NO.</t>
        </is>
      </c>
      <c r="D48" s="458" t="n"/>
      <c r="E48" s="393" t="inlineStr">
        <is>
          <t>Pulley</t>
        </is>
      </c>
      <c r="F48" s="459" t="n"/>
      <c r="G48" s="458" t="n"/>
      <c r="H48" s="460" t="inlineStr">
        <is>
          <t>X</t>
        </is>
      </c>
      <c r="I48" s="459" t="n"/>
      <c r="J48" s="458" t="n"/>
      <c r="K48" s="460" t="inlineStr">
        <is>
          <t>Y</t>
        </is>
      </c>
      <c r="L48" s="459" t="n"/>
      <c r="M48" s="458" t="n"/>
      <c r="N48" s="460" t="inlineStr">
        <is>
          <t>Flat</t>
        </is>
      </c>
      <c r="O48" s="459" t="n"/>
      <c r="P48" s="458" t="n"/>
      <c r="Q48" s="460" t="inlineStr">
        <is>
          <t>Pitch</t>
        </is>
      </c>
      <c r="R48" s="459" t="n"/>
      <c r="S48" s="458" t="n"/>
      <c r="T48" s="460" t="inlineStr">
        <is>
          <t>Effective</t>
        </is>
      </c>
      <c r="U48" s="459" t="n"/>
      <c r="V48" s="458" t="n"/>
      <c r="W48" s="460" t="inlineStr">
        <is>
          <t>Pulley</t>
        </is>
      </c>
      <c r="X48" s="459" t="n"/>
      <c r="Y48" s="458" t="n"/>
      <c r="Z48" s="16" t="n"/>
      <c r="AA48" s="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Z48" s="17" t="n"/>
      <c r="BA48" s="17" t="n"/>
      <c r="BB48" s="17" t="n"/>
    </row>
    <row r="49" ht="15.75" customHeight="1" s="429">
      <c r="A49" s="6" t="n"/>
      <c r="B49" s="16" t="n"/>
      <c r="C49" s="461" t="n"/>
      <c r="D49" s="447" t="n"/>
      <c r="E49" s="461" t="n"/>
      <c r="F49" s="439" t="n"/>
      <c r="G49" s="447" t="n"/>
      <c r="H49" s="462" t="inlineStr">
        <is>
          <t>Coordinate</t>
        </is>
      </c>
      <c r="I49" s="439" t="n"/>
      <c r="J49" s="447" t="n"/>
      <c r="K49" s="462" t="inlineStr">
        <is>
          <t>Coordinate</t>
        </is>
      </c>
      <c r="L49" s="439" t="n"/>
      <c r="M49" s="447" t="n"/>
      <c r="N49" s="462" t="inlineStr">
        <is>
          <t>Diameter</t>
        </is>
      </c>
      <c r="O49" s="439" t="n"/>
      <c r="P49" s="447" t="n"/>
      <c r="Q49" s="462" t="inlineStr">
        <is>
          <t>Diameter</t>
        </is>
      </c>
      <c r="R49" s="439" t="n"/>
      <c r="S49" s="447" t="n"/>
      <c r="T49" s="462" t="inlineStr">
        <is>
          <t>Diameter</t>
        </is>
      </c>
      <c r="U49" s="439" t="n"/>
      <c r="V49" s="447" t="n"/>
      <c r="W49" s="462" t="inlineStr">
        <is>
          <t>Type</t>
        </is>
      </c>
      <c r="X49" s="439" t="n"/>
      <c r="Y49" s="447" t="n"/>
      <c r="Z49" s="16" t="n"/>
      <c r="AA49" s="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Z49" s="17" t="n"/>
      <c r="BA49" s="17" t="n"/>
      <c r="BB49" s="17" t="n"/>
    </row>
    <row r="50">
      <c r="A50" s="6" t="n"/>
      <c r="B50" s="16" t="n"/>
      <c r="C50" s="163">
        <f>[2]Geometry!A5</f>
        <v/>
      </c>
      <c r="D50" s="442" t="n"/>
      <c r="E50" s="463" t="n"/>
      <c r="F50" s="440" t="n"/>
      <c r="G50" s="442" t="n"/>
      <c r="H50" s="463" t="n"/>
      <c r="I50" s="440" t="n"/>
      <c r="J50" s="442" t="n"/>
      <c r="K50" s="463" t="n"/>
      <c r="L50" s="440" t="n"/>
      <c r="M50" s="442" t="n"/>
      <c r="N50" s="463" t="n"/>
      <c r="O50" s="440" t="n"/>
      <c r="P50" s="442" t="n"/>
      <c r="Q50" s="463" t="n"/>
      <c r="R50" s="440" t="n"/>
      <c r="S50" s="442" t="n"/>
      <c r="T50" s="463" t="n"/>
      <c r="U50" s="440" t="n"/>
      <c r="V50" s="442" t="n"/>
      <c r="W50" s="463" t="n"/>
      <c r="X50" s="440" t="n"/>
      <c r="Y50" s="442" t="n"/>
      <c r="Z50" s="16" t="n"/>
      <c r="AA50" s="7" t="n"/>
      <c r="AC50" s="17" t="n"/>
      <c r="AD50" s="33" t="n"/>
      <c r="AE50" s="33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Z50" s="17" t="n"/>
      <c r="BA50" s="17" t="n"/>
      <c r="BB50" s="17" t="n"/>
    </row>
    <row r="51">
      <c r="A51" s="6" t="n"/>
      <c r="B51" s="16" t="n"/>
      <c r="C51" s="163">
        <f>[2]Geometry!A6</f>
        <v/>
      </c>
      <c r="D51" s="442" t="n"/>
      <c r="E51" s="463" t="n"/>
      <c r="F51" s="440" t="n"/>
      <c r="G51" s="442" t="n"/>
      <c r="H51" s="463" t="n"/>
      <c r="I51" s="440" t="n"/>
      <c r="J51" s="442" t="n"/>
      <c r="K51" s="463" t="n"/>
      <c r="L51" s="440" t="n"/>
      <c r="M51" s="442" t="n"/>
      <c r="N51" s="463" t="n"/>
      <c r="O51" s="440" t="n"/>
      <c r="P51" s="442" t="n"/>
      <c r="Q51" s="463" t="n"/>
      <c r="R51" s="440" t="n"/>
      <c r="S51" s="442" t="n"/>
      <c r="T51" s="463" t="n"/>
      <c r="U51" s="440" t="n"/>
      <c r="V51" s="442" t="n"/>
      <c r="W51" s="463" t="n"/>
      <c r="X51" s="440" t="n"/>
      <c r="Y51" s="442" t="n"/>
      <c r="Z51" s="16" t="n"/>
      <c r="AA51" s="7" t="n"/>
      <c r="AC51" s="17" t="n"/>
      <c r="AD51" s="33" t="n"/>
      <c r="AE51" s="33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Z51" s="17" t="n"/>
      <c r="BA51" s="17" t="n"/>
      <c r="BB51" s="17" t="n"/>
    </row>
    <row r="52">
      <c r="A52" s="6" t="n"/>
      <c r="B52" s="16" t="n"/>
      <c r="C52" s="163">
        <f>[2]Geometry!A7</f>
        <v/>
      </c>
      <c r="D52" s="442" t="n"/>
      <c r="E52" s="463" t="n"/>
      <c r="F52" s="440" t="n"/>
      <c r="G52" s="442" t="n"/>
      <c r="H52" s="463" t="n"/>
      <c r="I52" s="440" t="n"/>
      <c r="J52" s="442" t="n"/>
      <c r="K52" s="463" t="n"/>
      <c r="L52" s="440" t="n"/>
      <c r="M52" s="442" t="n"/>
      <c r="N52" s="463" t="n"/>
      <c r="O52" s="440" t="n"/>
      <c r="P52" s="442" t="n"/>
      <c r="Q52" s="463" t="n"/>
      <c r="R52" s="440" t="n"/>
      <c r="S52" s="442" t="n"/>
      <c r="T52" s="463" t="n"/>
      <c r="U52" s="440" t="n"/>
      <c r="V52" s="442" t="n"/>
      <c r="W52" s="463" t="n"/>
      <c r="X52" s="440" t="n"/>
      <c r="Y52" s="442" t="n"/>
      <c r="Z52" s="16" t="n"/>
      <c r="AA52" s="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Z52" s="17" t="n"/>
      <c r="BA52" s="17" t="n"/>
      <c r="BB52" s="17" t="n"/>
    </row>
    <row r="53">
      <c r="A53" s="6" t="n"/>
      <c r="B53" s="16" t="n"/>
      <c r="C53" s="163">
        <f>[2]Geometry!A8</f>
        <v/>
      </c>
      <c r="D53" s="442" t="n"/>
      <c r="E53" s="463" t="n"/>
      <c r="F53" s="440" t="n"/>
      <c r="G53" s="442" t="n"/>
      <c r="H53" s="463" t="n"/>
      <c r="I53" s="440" t="n"/>
      <c r="J53" s="442" t="n"/>
      <c r="K53" s="463" t="n"/>
      <c r="L53" s="440" t="n"/>
      <c r="M53" s="442" t="n"/>
      <c r="N53" s="463" t="n"/>
      <c r="O53" s="440" t="n"/>
      <c r="P53" s="442" t="n"/>
      <c r="Q53" s="463" t="n"/>
      <c r="R53" s="440" t="n"/>
      <c r="S53" s="442" t="n"/>
      <c r="T53" s="463" t="n"/>
      <c r="U53" s="440" t="n"/>
      <c r="V53" s="442" t="n"/>
      <c r="W53" s="463" t="n"/>
      <c r="X53" s="440" t="n"/>
      <c r="Y53" s="442" t="n"/>
      <c r="Z53" s="16" t="n"/>
      <c r="AA53" s="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Z53" s="17" t="n"/>
      <c r="BA53" s="17" t="n"/>
      <c r="BB53" s="17" t="n"/>
    </row>
    <row r="54">
      <c r="A54" s="6" t="n"/>
      <c r="B54" s="16" t="n"/>
      <c r="C54" s="163">
        <f>[2]Geometry!A9</f>
        <v/>
      </c>
      <c r="D54" s="442" t="n"/>
      <c r="E54" s="463" t="n"/>
      <c r="F54" s="440" t="n"/>
      <c r="G54" s="442" t="n"/>
      <c r="H54" s="463" t="n"/>
      <c r="I54" s="440" t="n"/>
      <c r="J54" s="442" t="n"/>
      <c r="K54" s="463" t="n"/>
      <c r="L54" s="440" t="n"/>
      <c r="M54" s="442" t="n"/>
      <c r="N54" s="463" t="n"/>
      <c r="O54" s="440" t="n"/>
      <c r="P54" s="442" t="n"/>
      <c r="Q54" s="463" t="n"/>
      <c r="R54" s="440" t="n"/>
      <c r="S54" s="442" t="n"/>
      <c r="T54" s="463" t="n"/>
      <c r="U54" s="440" t="n"/>
      <c r="V54" s="442" t="n"/>
      <c r="W54" s="463" t="n"/>
      <c r="X54" s="440" t="n"/>
      <c r="Y54" s="442" t="n"/>
      <c r="Z54" s="16" t="n"/>
      <c r="AA54" s="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Z54" s="17" t="n"/>
      <c r="BA54" s="17" t="n"/>
      <c r="BB54" s="17" t="n"/>
    </row>
    <row r="55">
      <c r="A55" s="6" t="n"/>
      <c r="B55" s="16" t="n"/>
      <c r="C55" s="163">
        <f>[2]Geometry!A10</f>
        <v/>
      </c>
      <c r="D55" s="442" t="n"/>
      <c r="E55" s="463" t="n"/>
      <c r="F55" s="440" t="n"/>
      <c r="G55" s="442" t="n"/>
      <c r="H55" s="463" t="n"/>
      <c r="I55" s="440" t="n"/>
      <c r="J55" s="442" t="n"/>
      <c r="K55" s="463" t="n"/>
      <c r="L55" s="440" t="n"/>
      <c r="M55" s="442" t="n"/>
      <c r="N55" s="463" t="n"/>
      <c r="O55" s="440" t="n"/>
      <c r="P55" s="442" t="n"/>
      <c r="Q55" s="463" t="n"/>
      <c r="R55" s="440" t="n"/>
      <c r="S55" s="442" t="n"/>
      <c r="T55" s="463" t="n"/>
      <c r="U55" s="440" t="n"/>
      <c r="V55" s="442" t="n"/>
      <c r="W55" s="463" t="n"/>
      <c r="X55" s="440" t="n"/>
      <c r="Y55" s="442" t="n"/>
      <c r="Z55" s="16" t="n"/>
      <c r="AA55" s="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Z55" s="17" t="n"/>
      <c r="BA55" s="17" t="n"/>
      <c r="BB55" s="17" t="n"/>
    </row>
    <row r="56">
      <c r="A56" s="6" t="n"/>
      <c r="B56" s="16" t="n"/>
      <c r="C56" s="163">
        <f>[2]Geometry!A11</f>
        <v/>
      </c>
      <c r="D56" s="442" t="n"/>
      <c r="E56" s="463" t="n"/>
      <c r="F56" s="440" t="n"/>
      <c r="G56" s="442" t="n"/>
      <c r="H56" s="463" t="n"/>
      <c r="I56" s="440" t="n"/>
      <c r="J56" s="442" t="n"/>
      <c r="K56" s="463" t="n"/>
      <c r="L56" s="440" t="n"/>
      <c r="M56" s="442" t="n"/>
      <c r="N56" s="463" t="n"/>
      <c r="O56" s="440" t="n"/>
      <c r="P56" s="442" t="n"/>
      <c r="Q56" s="463" t="n"/>
      <c r="R56" s="440" t="n"/>
      <c r="S56" s="442" t="n"/>
      <c r="T56" s="463" t="n"/>
      <c r="U56" s="440" t="n"/>
      <c r="V56" s="442" t="n"/>
      <c r="W56" s="463" t="n"/>
      <c r="X56" s="440" t="n"/>
      <c r="Y56" s="442" t="n"/>
      <c r="Z56" s="16" t="n"/>
      <c r="AA56" s="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Z56" s="17" t="n"/>
      <c r="BA56" s="17" t="n"/>
      <c r="BB56" s="17" t="n"/>
    </row>
    <row r="57">
      <c r="A57" s="6" t="n"/>
      <c r="B57" s="16" t="n"/>
      <c r="C57" s="163">
        <f>[2]Geometry!A12</f>
        <v/>
      </c>
      <c r="D57" s="442" t="n"/>
      <c r="E57" s="463" t="n"/>
      <c r="F57" s="440" t="n"/>
      <c r="G57" s="442" t="n"/>
      <c r="H57" s="463" t="n"/>
      <c r="I57" s="440" t="n"/>
      <c r="J57" s="442" t="n"/>
      <c r="K57" s="463" t="n"/>
      <c r="L57" s="440" t="n"/>
      <c r="M57" s="442" t="n"/>
      <c r="N57" s="463" t="n"/>
      <c r="O57" s="440" t="n"/>
      <c r="P57" s="442" t="n"/>
      <c r="Q57" s="463" t="n"/>
      <c r="R57" s="440" t="n"/>
      <c r="S57" s="442" t="n"/>
      <c r="T57" s="463" t="n"/>
      <c r="U57" s="440" t="n"/>
      <c r="V57" s="442" t="n"/>
      <c r="W57" s="463" t="n"/>
      <c r="X57" s="440" t="n"/>
      <c r="Y57" s="442" t="n"/>
      <c r="Z57" s="16" t="n"/>
      <c r="AA57" s="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Z57" s="17" t="n"/>
      <c r="BA57" s="17" t="n"/>
      <c r="BB57" s="17" t="n"/>
    </row>
    <row r="58">
      <c r="A58" s="6" t="n"/>
      <c r="B58" s="16" t="n"/>
      <c r="C58" s="163">
        <f>[2]Geometry!A13</f>
        <v/>
      </c>
      <c r="D58" s="442" t="n"/>
      <c r="E58" s="463" t="n"/>
      <c r="F58" s="440" t="n"/>
      <c r="G58" s="442" t="n"/>
      <c r="H58" s="463" t="n"/>
      <c r="I58" s="440" t="n"/>
      <c r="J58" s="442" t="n"/>
      <c r="K58" s="463" t="n"/>
      <c r="L58" s="440" t="n"/>
      <c r="M58" s="442" t="n"/>
      <c r="N58" s="463" t="n"/>
      <c r="O58" s="440" t="n"/>
      <c r="P58" s="442" t="n"/>
      <c r="Q58" s="463" t="n"/>
      <c r="R58" s="440" t="n"/>
      <c r="S58" s="442" t="n"/>
      <c r="T58" s="463" t="n"/>
      <c r="U58" s="440" t="n"/>
      <c r="V58" s="442" t="n"/>
      <c r="W58" s="463" t="n"/>
      <c r="X58" s="440" t="n"/>
      <c r="Y58" s="442" t="n"/>
      <c r="Z58" s="16" t="n"/>
      <c r="AA58" s="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Z58" s="17" t="n"/>
      <c r="BA58" s="17" t="n"/>
      <c r="BB58" s="17" t="n"/>
    </row>
    <row r="59">
      <c r="A59" s="6" t="n"/>
      <c r="B59" s="16" t="n"/>
      <c r="C59" s="163">
        <f>[2]Geometry!A14</f>
        <v/>
      </c>
      <c r="D59" s="442" t="n"/>
      <c r="E59" s="463" t="n"/>
      <c r="F59" s="440" t="n"/>
      <c r="G59" s="442" t="n"/>
      <c r="H59" s="463" t="n"/>
      <c r="I59" s="440" t="n"/>
      <c r="J59" s="442" t="n"/>
      <c r="K59" s="463" t="n"/>
      <c r="L59" s="440" t="n"/>
      <c r="M59" s="442" t="n"/>
      <c r="N59" s="463" t="n"/>
      <c r="O59" s="440" t="n"/>
      <c r="P59" s="442" t="n"/>
      <c r="Q59" s="463" t="n"/>
      <c r="R59" s="440" t="n"/>
      <c r="S59" s="442" t="n"/>
      <c r="T59" s="463" t="n"/>
      <c r="U59" s="440" t="n"/>
      <c r="V59" s="442" t="n"/>
      <c r="W59" s="463" t="n"/>
      <c r="X59" s="440" t="n"/>
      <c r="Y59" s="442" t="n"/>
      <c r="Z59" s="16" t="n"/>
      <c r="AA59" s="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Z59" s="17" t="n"/>
      <c r="BA59" s="17" t="n"/>
      <c r="BB59" s="17" t="n"/>
    </row>
    <row r="60" ht="16.2" customHeight="1" s="429" thickBot="1">
      <c r="A60" s="42" t="n"/>
      <c r="B60" s="43" t="n"/>
      <c r="C60" s="44" t="n"/>
      <c r="D60" s="44" t="n"/>
      <c r="E60" s="464" t="n"/>
      <c r="F60" s="464" t="n"/>
      <c r="G60" s="464" t="n"/>
      <c r="H60" s="464" t="n"/>
      <c r="I60" s="464" t="n"/>
      <c r="J60" s="464" t="n"/>
      <c r="K60" s="464" t="n"/>
      <c r="L60" s="464" t="n"/>
      <c r="M60" s="464" t="n"/>
      <c r="N60" s="464" t="n"/>
      <c r="O60" s="464" t="n"/>
      <c r="P60" s="464" t="n"/>
      <c r="Q60" s="464" t="n"/>
      <c r="R60" s="464" t="n"/>
      <c r="S60" s="464" t="n"/>
      <c r="T60" s="464" t="n"/>
      <c r="U60" s="464" t="n"/>
      <c r="V60" s="464" t="n"/>
      <c r="W60" s="464" t="n"/>
      <c r="X60" s="464" t="n"/>
      <c r="Y60" s="464" t="n"/>
      <c r="Z60" s="43" t="n"/>
      <c r="AA60" s="46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Z60" s="17" t="n"/>
      <c r="BA60" s="17" t="n"/>
      <c r="BB60" s="17" t="n"/>
    </row>
    <row r="61" ht="15" customHeight="1" s="429">
      <c r="A61" s="1" t="n"/>
      <c r="B61" s="47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65" t="n"/>
      <c r="L61" s="465" t="n"/>
      <c r="M61" s="465" t="n"/>
      <c r="N61" s="465" t="n"/>
      <c r="O61" s="465" t="n"/>
      <c r="P61" s="465" t="n"/>
      <c r="Q61" s="465" t="n"/>
      <c r="R61" s="465" t="n"/>
      <c r="S61" s="465" t="n"/>
      <c r="T61" s="465" t="n"/>
      <c r="U61" s="465" t="n"/>
      <c r="V61" s="465" t="n"/>
      <c r="W61" s="465" t="n"/>
      <c r="X61" s="465" t="n"/>
      <c r="Y61" s="465" t="n"/>
      <c r="Z61" s="47" t="n"/>
      <c r="AA61" s="2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Z61" s="17" t="n"/>
      <c r="BA61" s="17" t="n"/>
      <c r="BB61" s="17" t="n"/>
    </row>
    <row r="62" ht="24.6" customHeight="1" s="429">
      <c r="A62" s="6" t="n"/>
      <c r="B62" s="16" t="n"/>
      <c r="C62" s="25" t="inlineStr">
        <is>
          <t>Layout Data (Results)</t>
        </is>
      </c>
      <c r="D62" s="25" t="n"/>
      <c r="E62" s="25" t="n"/>
      <c r="F62" s="25" t="n"/>
      <c r="G62" s="25" t="n"/>
      <c r="H62" s="25" t="n"/>
      <c r="I62" s="25" t="n"/>
      <c r="J62" s="25" t="n"/>
      <c r="K62" s="466" t="n"/>
      <c r="L62" s="466" t="n"/>
      <c r="M62" s="466" t="n"/>
      <c r="N62" s="466" t="n"/>
      <c r="O62" s="466" t="n"/>
      <c r="P62" s="466" t="n"/>
      <c r="Q62" s="466" t="n"/>
      <c r="R62" s="466" t="n"/>
      <c r="S62" s="466" t="n"/>
      <c r="T62" s="466" t="n"/>
      <c r="U62" s="466" t="n"/>
      <c r="V62" s="466" t="n"/>
      <c r="W62" s="466" t="n"/>
      <c r="X62" s="466" t="n"/>
      <c r="Y62" s="466" t="n"/>
      <c r="Z62" s="16" t="n"/>
      <c r="AA62" s="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Z62" s="17" t="n"/>
      <c r="BA62" s="17" t="n"/>
      <c r="BB62" s="17" t="n"/>
    </row>
    <row r="63">
      <c r="A63" s="6" t="n"/>
      <c r="B63" s="16" t="n"/>
      <c r="C63" s="169" t="n"/>
      <c r="D63" s="169" t="n"/>
      <c r="E63" s="466" t="n"/>
      <c r="F63" s="466" t="n"/>
      <c r="G63" s="466" t="n"/>
      <c r="H63" s="466" t="n"/>
      <c r="I63" s="466" t="n"/>
      <c r="J63" s="466" t="n"/>
      <c r="K63" s="466" t="n"/>
      <c r="L63" s="466" t="n"/>
      <c r="M63" s="466" t="n"/>
      <c r="N63" s="466" t="n"/>
      <c r="O63" s="466" t="n"/>
      <c r="P63" s="466" t="n"/>
      <c r="Q63" s="466" t="n"/>
      <c r="R63" s="466" t="n"/>
      <c r="S63" s="466" t="n"/>
      <c r="T63" s="466" t="n"/>
      <c r="U63" s="466" t="n"/>
      <c r="V63" s="466" t="n"/>
      <c r="W63" s="466" t="n"/>
      <c r="X63" s="466" t="n"/>
      <c r="Y63" s="466" t="n"/>
      <c r="Z63" s="16" t="n"/>
      <c r="AA63" s="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Z63" s="17" t="n"/>
      <c r="BA63" s="17" t="n"/>
      <c r="BB63" s="17" t="n"/>
    </row>
    <row r="64" ht="19.2" customHeight="1" s="429">
      <c r="A64" s="6" t="n"/>
      <c r="B64" s="16" t="n"/>
      <c r="C64" s="367" t="inlineStr">
        <is>
          <t>Min Belt</t>
        </is>
      </c>
      <c r="D64" s="440" t="n"/>
      <c r="E64" s="440" t="n"/>
      <c r="F64" s="440" t="n"/>
      <c r="G64" s="442" t="n"/>
      <c r="H64" s="466" t="n"/>
      <c r="I64" s="466" t="n"/>
      <c r="J64" s="466" t="n"/>
      <c r="K64" s="466" t="n"/>
      <c r="L64" s="466" t="n"/>
      <c r="M64" s="466" t="n"/>
      <c r="N64" s="466" t="n"/>
      <c r="O64" s="369" t="inlineStr">
        <is>
          <t>Nominal Belt</t>
        </is>
      </c>
      <c r="P64" s="440" t="n"/>
      <c r="Q64" s="440" t="n"/>
      <c r="R64" s="440" t="n"/>
      <c r="S64" s="442" t="n"/>
      <c r="T64" s="466" t="n"/>
      <c r="U64" s="466" t="n"/>
      <c r="V64" s="466" t="n"/>
      <c r="W64" s="466" t="n"/>
      <c r="X64" s="466" t="n"/>
      <c r="Y64" s="466" t="n"/>
      <c r="Z64" s="16" t="n"/>
      <c r="AA64" s="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Z64" s="17" t="n"/>
      <c r="BA64" s="17" t="n"/>
      <c r="BB64" s="17" t="n"/>
    </row>
    <row r="65">
      <c r="A65" s="6" t="n"/>
      <c r="B65" s="16" t="n"/>
      <c r="C65" s="467" t="n"/>
      <c r="D65" s="459" t="n"/>
      <c r="E65" s="459" t="n"/>
      <c r="F65" s="459" t="n"/>
      <c r="G65" s="459" t="n"/>
      <c r="H65" s="459" t="n"/>
      <c r="I65" s="459" t="n"/>
      <c r="J65" s="459" t="n"/>
      <c r="K65" s="459" t="n"/>
      <c r="L65" s="459" t="n"/>
      <c r="M65" s="458" t="n"/>
      <c r="N65" s="36" t="n"/>
      <c r="O65" s="163" t="n"/>
      <c r="P65" s="459" t="n"/>
      <c r="Q65" s="459" t="n"/>
      <c r="R65" s="459" t="n"/>
      <c r="S65" s="459" t="n"/>
      <c r="T65" s="459" t="n"/>
      <c r="U65" s="459" t="n"/>
      <c r="V65" s="459" t="n"/>
      <c r="W65" s="459" t="n"/>
      <c r="X65" s="459" t="n"/>
      <c r="Y65" s="458" t="n"/>
      <c r="Z65" s="52" t="n"/>
      <c r="AA65" s="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Z65" s="17" t="n"/>
      <c r="BA65" s="17" t="n"/>
      <c r="BB65" s="17" t="n"/>
    </row>
    <row r="66">
      <c r="A66" s="6" t="n"/>
      <c r="B66" s="16" t="n"/>
      <c r="C66" s="468" t="n"/>
      <c r="M66" s="469" t="n"/>
      <c r="N66" s="36" t="n"/>
      <c r="O66" s="468" t="n"/>
      <c r="Y66" s="469" t="n"/>
      <c r="Z66" s="52" t="n"/>
      <c r="AA66" s="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Z66" s="17" t="n"/>
      <c r="BA66" s="17" t="n"/>
      <c r="BB66" s="17" t="n"/>
    </row>
    <row r="67">
      <c r="A67" s="6" t="n"/>
      <c r="B67" s="16" t="n"/>
      <c r="C67" s="468" t="n"/>
      <c r="M67" s="469" t="n"/>
      <c r="N67" s="36" t="n"/>
      <c r="O67" s="468" t="n"/>
      <c r="Y67" s="469" t="n"/>
      <c r="Z67" s="52" t="n"/>
      <c r="AA67" s="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Z67" s="17" t="n"/>
      <c r="BA67" s="17" t="n"/>
      <c r="BB67" s="17" t="n"/>
    </row>
    <row r="68">
      <c r="A68" s="6" t="n"/>
      <c r="B68" s="16" t="n"/>
      <c r="C68" s="468" t="n"/>
      <c r="M68" s="469" t="n"/>
      <c r="N68" s="36" t="n"/>
      <c r="O68" s="468" t="n"/>
      <c r="Y68" s="469" t="n"/>
      <c r="Z68" s="52" t="n"/>
      <c r="AA68" s="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Z68" s="17" t="n"/>
      <c r="BA68" s="17" t="n"/>
      <c r="BB68" s="17" t="n"/>
    </row>
    <row r="69">
      <c r="A69" s="6" t="n"/>
      <c r="B69" s="16" t="n"/>
      <c r="C69" s="468" t="n"/>
      <c r="M69" s="469" t="n"/>
      <c r="N69" s="36" t="n"/>
      <c r="O69" s="468" t="n"/>
      <c r="Y69" s="469" t="n"/>
      <c r="Z69" s="52" t="n"/>
      <c r="AA69" s="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Z69" s="17" t="n"/>
      <c r="BA69" s="17" t="n"/>
      <c r="BB69" s="17" t="n"/>
    </row>
    <row r="70">
      <c r="A70" s="6" t="n"/>
      <c r="B70" s="16" t="n"/>
      <c r="C70" s="468" t="n"/>
      <c r="M70" s="469" t="n"/>
      <c r="N70" s="36" t="n"/>
      <c r="O70" s="468" t="n"/>
      <c r="Y70" s="469" t="n"/>
      <c r="Z70" s="52" t="n"/>
      <c r="AA70" s="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Z70" s="17" t="n"/>
      <c r="BA70" s="17" t="n"/>
      <c r="BB70" s="17" t="n"/>
    </row>
    <row r="71">
      <c r="A71" s="6" t="n"/>
      <c r="B71" s="16" t="n"/>
      <c r="C71" s="468" t="n"/>
      <c r="M71" s="469" t="n"/>
      <c r="N71" s="36" t="n"/>
      <c r="O71" s="468" t="n"/>
      <c r="Y71" s="469" t="n"/>
      <c r="Z71" s="52" t="n"/>
      <c r="AA71" s="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Z71" s="17" t="n"/>
      <c r="BA71" s="17" t="n"/>
      <c r="BB71" s="17" t="n"/>
    </row>
    <row r="72">
      <c r="A72" s="6" t="n"/>
      <c r="B72" s="16" t="n"/>
      <c r="C72" s="468" t="n"/>
      <c r="M72" s="469" t="n"/>
      <c r="N72" s="36" t="n"/>
      <c r="O72" s="468" t="n"/>
      <c r="Y72" s="469" t="n"/>
      <c r="Z72" s="52" t="n"/>
      <c r="AA72" s="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Z72" s="17" t="n"/>
      <c r="BA72" s="17" t="n"/>
      <c r="BB72" s="17" t="n"/>
    </row>
    <row r="73">
      <c r="A73" s="6" t="n"/>
      <c r="B73" s="16" t="n"/>
      <c r="C73" s="468" t="n"/>
      <c r="M73" s="469" t="n"/>
      <c r="N73" s="36" t="n"/>
      <c r="O73" s="468" t="n"/>
      <c r="Y73" s="469" t="n"/>
      <c r="Z73" s="52" t="n"/>
      <c r="AA73" s="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Z73" s="17" t="n"/>
      <c r="BA73" s="17" t="n"/>
      <c r="BB73" s="17" t="n"/>
    </row>
    <row r="74">
      <c r="A74" s="6" t="n"/>
      <c r="B74" s="16" t="n"/>
      <c r="C74" s="468" t="n"/>
      <c r="M74" s="469" t="n"/>
      <c r="N74" s="36" t="n"/>
      <c r="O74" s="468" t="n"/>
      <c r="Y74" s="469" t="n"/>
      <c r="Z74" s="52" t="n"/>
      <c r="AA74" s="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Z74" s="17" t="n"/>
      <c r="BA74" s="17" t="n"/>
      <c r="BB74" s="17" t="n"/>
    </row>
    <row r="75">
      <c r="A75" s="6" t="n"/>
      <c r="B75" s="16" t="n"/>
      <c r="C75" s="468" t="n"/>
      <c r="M75" s="469" t="n"/>
      <c r="N75" s="36" t="n"/>
      <c r="O75" s="468" t="n"/>
      <c r="Y75" s="469" t="n"/>
      <c r="Z75" s="52" t="n"/>
      <c r="AA75" s="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Z75" s="17" t="n"/>
      <c r="BA75" s="17" t="n"/>
      <c r="BB75" s="17" t="n"/>
    </row>
    <row r="76">
      <c r="A76" s="6" t="n"/>
      <c r="B76" s="16" t="n"/>
      <c r="C76" s="468" t="n"/>
      <c r="M76" s="469" t="n"/>
      <c r="N76" s="36" t="n"/>
      <c r="O76" s="468" t="n"/>
      <c r="Y76" s="469" t="n"/>
      <c r="Z76" s="52" t="n"/>
      <c r="AA76" s="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Z76" s="17" t="n"/>
      <c r="BA76" s="17" t="n"/>
      <c r="BB76" s="17" t="n"/>
    </row>
    <row r="77">
      <c r="A77" s="6" t="n"/>
      <c r="B77" s="16" t="n"/>
      <c r="C77" s="468" t="n"/>
      <c r="M77" s="469" t="n"/>
      <c r="N77" s="36" t="n"/>
      <c r="O77" s="468" t="n"/>
      <c r="Y77" s="469" t="n"/>
      <c r="Z77" s="52" t="n"/>
      <c r="AA77" s="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Z77" s="17" t="n"/>
      <c r="BA77" s="17" t="n"/>
      <c r="BB77" s="17" t="n"/>
    </row>
    <row r="78">
      <c r="A78" s="6" t="n"/>
      <c r="B78" s="16" t="n"/>
      <c r="C78" s="468" t="n"/>
      <c r="M78" s="469" t="n"/>
      <c r="N78" s="36" t="n"/>
      <c r="O78" s="461" t="n"/>
      <c r="P78" s="439" t="n"/>
      <c r="Q78" s="439" t="n"/>
      <c r="R78" s="439" t="n"/>
      <c r="S78" s="439" t="n"/>
      <c r="T78" s="439" t="n"/>
      <c r="U78" s="439" t="n"/>
      <c r="V78" s="439" t="n"/>
      <c r="W78" s="439" t="n"/>
      <c r="X78" s="439" t="n"/>
      <c r="Y78" s="447" t="n"/>
      <c r="Z78" s="52" t="n"/>
      <c r="AA78" s="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Z78" s="17" t="n"/>
      <c r="BA78" s="17" t="n"/>
      <c r="BB78" s="17" t="n"/>
    </row>
    <row r="79" ht="23.1" customHeight="1" s="429">
      <c r="A79" s="6" t="n"/>
      <c r="B79" s="16" t="n"/>
      <c r="C79" s="163" t="inlineStr">
        <is>
          <t>Jitter risk segment</t>
        </is>
      </c>
      <c r="D79" s="440" t="n"/>
      <c r="E79" s="440" t="n"/>
      <c r="F79" s="440" t="n"/>
      <c r="G79" s="440" t="n"/>
      <c r="H79" s="440" t="n"/>
      <c r="I79" s="442" t="n"/>
      <c r="J79" s="163">
        <f>[2]初始输入!B66</f>
        <v/>
      </c>
      <c r="K79" s="440" t="n"/>
      <c r="L79" s="440" t="n"/>
      <c r="M79" s="442" t="n"/>
      <c r="N79" s="36" t="n"/>
      <c r="O79" s="163" t="inlineStr">
        <is>
          <t>Jitter risk segment</t>
        </is>
      </c>
      <c r="P79" s="440" t="n"/>
      <c r="Q79" s="440" t="n"/>
      <c r="R79" s="440" t="n"/>
      <c r="S79" s="440" t="n"/>
      <c r="T79" s="440" t="n"/>
      <c r="U79" s="442" t="n"/>
      <c r="V79" s="163">
        <f>[2]初始输入!I66</f>
        <v/>
      </c>
      <c r="W79" s="440" t="n"/>
      <c r="X79" s="440" t="n"/>
      <c r="Y79" s="442" t="n"/>
      <c r="Z79" s="52" t="n"/>
      <c r="AA79" s="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Z79" s="17" t="n"/>
      <c r="BA79" s="17" t="n"/>
      <c r="BB79" s="17" t="n"/>
    </row>
    <row r="80" ht="23.1" customHeight="1" s="429">
      <c r="A80" s="6" t="n"/>
      <c r="B80" s="16" t="n"/>
      <c r="C80" s="163" t="inlineStr">
        <is>
          <t>Interference Pulley</t>
        </is>
      </c>
      <c r="D80" s="440" t="n"/>
      <c r="E80" s="440" t="n"/>
      <c r="F80" s="440" t="n"/>
      <c r="G80" s="440" t="n"/>
      <c r="H80" s="440" t="n"/>
      <c r="I80" s="442" t="n"/>
      <c r="J80" s="163">
        <f>[2]初始输入!B68</f>
        <v/>
      </c>
      <c r="K80" s="440" t="n"/>
      <c r="L80" s="440" t="n"/>
      <c r="M80" s="442" t="n"/>
      <c r="N80" s="36" t="n"/>
      <c r="O80" s="163" t="inlineStr">
        <is>
          <t>Interference Pulley</t>
        </is>
      </c>
      <c r="P80" s="440" t="n"/>
      <c r="Q80" s="440" t="n"/>
      <c r="R80" s="440" t="n"/>
      <c r="S80" s="440" t="n"/>
      <c r="T80" s="440" t="n"/>
      <c r="U80" s="442" t="n"/>
      <c r="V80" s="163">
        <f>[2]初始输入!I68</f>
        <v/>
      </c>
      <c r="W80" s="440" t="n"/>
      <c r="X80" s="440" t="n"/>
      <c r="Y80" s="442" t="n"/>
      <c r="Z80" s="52" t="n"/>
      <c r="AA80" s="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Z80" s="17" t="n"/>
      <c r="BA80" s="17" t="n"/>
      <c r="BB80" s="17" t="n"/>
    </row>
    <row r="81" ht="23.1" customHeight="1" s="429">
      <c r="A81" s="6" t="n"/>
      <c r="B81" s="16" t="n"/>
      <c r="C81" s="470" t="inlineStr">
        <is>
          <t>Tensioner pulley swing angle</t>
        </is>
      </c>
      <c r="D81" s="440" t="n"/>
      <c r="E81" s="440" t="n"/>
      <c r="F81" s="440" t="n"/>
      <c r="G81" s="440" t="n"/>
      <c r="H81" s="440" t="n"/>
      <c r="I81" s="442" t="n"/>
      <c r="J81" s="163">
        <f>IF(AND([2]初始输入!C41="Automatic",J80="TEN"),"±"&amp;[2]抖动计算!B5,"/")</f>
        <v/>
      </c>
      <c r="K81" s="440" t="n"/>
      <c r="L81" s="442" t="n"/>
      <c r="M81" s="54" t="inlineStr">
        <is>
          <t>deg</t>
        </is>
      </c>
      <c r="N81" s="36" t="n"/>
      <c r="O81" s="470" t="inlineStr">
        <is>
          <t>Tensioner pulley swing angle</t>
        </is>
      </c>
      <c r="P81" s="440" t="n"/>
      <c r="Q81" s="440" t="n"/>
      <c r="R81" s="440" t="n"/>
      <c r="S81" s="440" t="n"/>
      <c r="T81" s="440" t="n"/>
      <c r="U81" s="442" t="n"/>
      <c r="V81" s="163">
        <f>IF(AND([2]初始输入!C41="Automatic",V80="TEN"),"±"&amp;[2]抖动计算!B6,"/")</f>
        <v/>
      </c>
      <c r="W81" s="440" t="n"/>
      <c r="X81" s="442" t="n"/>
      <c r="Y81" s="54" t="inlineStr">
        <is>
          <t>deg</t>
        </is>
      </c>
      <c r="Z81" s="52" t="n"/>
      <c r="AA81" s="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Z81" s="17" t="n"/>
      <c r="BA81" s="17" t="n"/>
      <c r="BB81" s="17" t="n"/>
    </row>
    <row r="82" ht="23.1" customHeight="1" s="429">
      <c r="A82" s="6" t="n"/>
      <c r="B82" s="16" t="n"/>
      <c r="C82" s="163" t="inlineStr">
        <is>
          <t>Distance</t>
        </is>
      </c>
      <c r="D82" s="440" t="n"/>
      <c r="E82" s="440" t="n"/>
      <c r="F82" s="440" t="n"/>
      <c r="G82" s="440" t="n"/>
      <c r="H82" s="440" t="n"/>
      <c r="I82" s="442" t="n"/>
      <c r="J82" s="471">
        <f>[2]抖动计算!S11</f>
        <v/>
      </c>
      <c r="K82" s="440" t="n"/>
      <c r="L82" s="442" t="n"/>
      <c r="M82" s="54" t="inlineStr">
        <is>
          <t>mm</t>
        </is>
      </c>
      <c r="N82" s="36" t="n"/>
      <c r="O82" s="163" t="inlineStr">
        <is>
          <t>Distance</t>
        </is>
      </c>
      <c r="P82" s="440" t="n"/>
      <c r="Q82" s="440" t="n"/>
      <c r="R82" s="440" t="n"/>
      <c r="S82" s="440" t="n"/>
      <c r="T82" s="440" t="n"/>
      <c r="U82" s="442" t="n"/>
      <c r="V82" s="471">
        <f>[2]初始输入!I74</f>
        <v/>
      </c>
      <c r="W82" s="440" t="n"/>
      <c r="X82" s="442" t="n"/>
      <c r="Y82" s="54" t="inlineStr">
        <is>
          <t>mm</t>
        </is>
      </c>
      <c r="Z82" s="52" t="n"/>
      <c r="AA82" s="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Z82" s="17" t="n"/>
      <c r="BA82" s="17" t="n"/>
      <c r="BB82" s="17" t="n"/>
    </row>
    <row r="83" ht="24.9" customHeight="1" s="429">
      <c r="A83" s="6" t="n"/>
      <c r="B83" s="1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Z83" s="17" t="n"/>
      <c r="BA83" s="17" t="n"/>
      <c r="BB83" s="17" t="n"/>
    </row>
    <row r="84" ht="19.2" customHeight="1" s="429">
      <c r="A84" s="6" t="n"/>
      <c r="B84" s="16" t="n"/>
      <c r="C84" s="367" t="inlineStr">
        <is>
          <t>Max Belt</t>
        </is>
      </c>
      <c r="D84" s="440" t="n"/>
      <c r="E84" s="440" t="n"/>
      <c r="F84" s="440" t="n"/>
      <c r="G84" s="442" t="n"/>
      <c r="H84" s="36" t="n"/>
      <c r="I84" s="36" t="n"/>
      <c r="J84" s="36" t="n"/>
      <c r="K84" s="36" t="n"/>
      <c r="L84" s="36" t="n"/>
      <c r="M84" s="36" t="n"/>
      <c r="N84" s="36" t="n"/>
      <c r="O84" s="368" t="inlineStr">
        <is>
          <t>Stretch &amp; wear</t>
        </is>
      </c>
      <c r="P84" s="440" t="n"/>
      <c r="Q84" s="440" t="n"/>
      <c r="R84" s="440" t="n"/>
      <c r="S84" s="442" t="n"/>
      <c r="T84" s="36" t="n"/>
      <c r="U84" s="36" t="n"/>
      <c r="V84" s="36" t="n"/>
      <c r="W84" s="36" t="n"/>
      <c r="X84" s="36" t="n"/>
      <c r="Y84" s="36" t="n"/>
      <c r="Z84" s="36" t="n"/>
      <c r="AA84" s="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Z84" s="17" t="n"/>
      <c r="BA84" s="17" t="n"/>
      <c r="BB84" s="17" t="n"/>
    </row>
    <row r="85" ht="24.9" customHeight="1" s="429">
      <c r="A85" s="6" t="n"/>
      <c r="B85" s="16" t="n"/>
      <c r="C85" s="467" t="n"/>
      <c r="D85" s="459" t="n"/>
      <c r="E85" s="459" t="n"/>
      <c r="F85" s="459" t="n"/>
      <c r="G85" s="459" t="n"/>
      <c r="H85" s="459" t="n"/>
      <c r="I85" s="459" t="n"/>
      <c r="J85" s="459" t="n"/>
      <c r="K85" s="459" t="n"/>
      <c r="L85" s="459" t="n"/>
      <c r="M85" s="458" t="n"/>
      <c r="N85" s="36" t="n"/>
      <c r="O85" s="144" t="n"/>
      <c r="P85" s="459" t="n"/>
      <c r="Q85" s="459" t="n"/>
      <c r="R85" s="459" t="n"/>
      <c r="S85" s="459" t="n"/>
      <c r="T85" s="459" t="n"/>
      <c r="U85" s="459" t="n"/>
      <c r="V85" s="459" t="n"/>
      <c r="W85" s="459" t="n"/>
      <c r="X85" s="459" t="n"/>
      <c r="Y85" s="459" t="n"/>
      <c r="Z85" s="52" t="n"/>
      <c r="AA85" s="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Z85" s="17" t="n"/>
      <c r="BA85" s="17" t="n"/>
      <c r="BB85" s="17" t="n"/>
    </row>
    <row r="86" ht="24.9" customHeight="1" s="429">
      <c r="A86" s="6" t="n"/>
      <c r="B86" s="16" t="n"/>
      <c r="C86" s="468" t="n"/>
      <c r="M86" s="469" t="n"/>
      <c r="N86" s="36" t="n"/>
      <c r="O86" s="468" t="n"/>
      <c r="Z86" s="52" t="n"/>
      <c r="AA86" s="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Z86" s="17" t="n"/>
      <c r="BA86" s="17" t="n"/>
      <c r="BB86" s="17" t="n"/>
    </row>
    <row r="87" ht="24.9" customHeight="1" s="429">
      <c r="A87" s="6" t="n"/>
      <c r="B87" s="16" t="n"/>
      <c r="C87" s="468" t="n"/>
      <c r="M87" s="469" t="n"/>
      <c r="N87" s="36" t="n"/>
      <c r="O87" s="468" t="n"/>
      <c r="Z87" s="52" t="n"/>
      <c r="AA87" s="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Z87" s="17" t="n"/>
      <c r="BA87" s="17" t="n"/>
      <c r="BB87" s="17" t="n"/>
    </row>
    <row r="88" ht="24.9" customHeight="1" s="429">
      <c r="A88" s="6" t="n"/>
      <c r="B88" s="16" t="n"/>
      <c r="C88" s="468" t="n"/>
      <c r="M88" s="469" t="n"/>
      <c r="N88" s="36" t="n"/>
      <c r="O88" s="468" t="n"/>
      <c r="Z88" s="52" t="n"/>
      <c r="AA88" s="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Z88" s="17" t="n"/>
      <c r="BA88" s="17" t="n"/>
      <c r="BB88" s="17" t="n"/>
    </row>
    <row r="89" ht="24.9" customHeight="1" s="429">
      <c r="A89" s="6" t="n"/>
      <c r="B89" s="16" t="n"/>
      <c r="C89" s="468" t="n"/>
      <c r="M89" s="469" t="n"/>
      <c r="N89" s="36" t="n"/>
      <c r="O89" s="468" t="n"/>
      <c r="Z89" s="52" t="n"/>
      <c r="AA89" s="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Z89" s="17" t="n"/>
      <c r="BA89" s="17" t="n"/>
      <c r="BB89" s="17" t="n"/>
    </row>
    <row r="90" ht="24.9" customHeight="1" s="429">
      <c r="A90" s="6" t="n"/>
      <c r="B90" s="16" t="n"/>
      <c r="C90" s="468" t="n"/>
      <c r="M90" s="469" t="n"/>
      <c r="N90" s="36" t="n"/>
      <c r="O90" s="468" t="n"/>
      <c r="Z90" s="52" t="n"/>
      <c r="AA90" s="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Z90" s="17" t="n"/>
      <c r="BA90" s="17" t="n"/>
      <c r="BB90" s="17" t="n"/>
    </row>
    <row r="91" ht="24.9" customHeight="1" s="429">
      <c r="A91" s="6" t="n"/>
      <c r="B91" s="16" t="n"/>
      <c r="C91" s="468" t="n"/>
      <c r="M91" s="469" t="n"/>
      <c r="N91" s="36" t="n"/>
      <c r="O91" s="468" t="n"/>
      <c r="Z91" s="52" t="n"/>
      <c r="AA91" s="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Z91" s="17" t="n"/>
      <c r="BA91" s="17" t="n"/>
      <c r="BB91" s="17" t="n"/>
    </row>
    <row r="92" ht="24.9" customHeight="1" s="429">
      <c r="A92" s="6" t="n"/>
      <c r="B92" s="16" t="n"/>
      <c r="C92" s="468" t="n"/>
      <c r="M92" s="469" t="n"/>
      <c r="N92" s="36" t="n"/>
      <c r="O92" s="468" t="n"/>
      <c r="Z92" s="52" t="n"/>
      <c r="AA92" s="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Z92" s="17" t="n"/>
      <c r="BA92" s="17" t="n"/>
      <c r="BB92" s="17" t="n"/>
    </row>
    <row r="93" ht="24.9" customHeight="1" s="429">
      <c r="A93" s="6" t="n"/>
      <c r="B93" s="16" t="n"/>
      <c r="C93" s="468" t="n"/>
      <c r="M93" s="469" t="n"/>
      <c r="N93" s="36" t="n"/>
      <c r="O93" s="461" t="n"/>
      <c r="P93" s="439" t="n"/>
      <c r="Q93" s="439" t="n"/>
      <c r="R93" s="439" t="n"/>
      <c r="S93" s="439" t="n"/>
      <c r="T93" s="439" t="n"/>
      <c r="U93" s="439" t="n"/>
      <c r="V93" s="439" t="n"/>
      <c r="W93" s="439" t="n"/>
      <c r="X93" s="439" t="n"/>
      <c r="Y93" s="439" t="n"/>
      <c r="Z93" s="52" t="n"/>
      <c r="AA93" s="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Z93" s="17" t="n"/>
      <c r="BA93" s="17" t="n"/>
      <c r="BB93" s="17" t="n"/>
    </row>
    <row r="94" ht="23.1" customHeight="1" s="429">
      <c r="A94" s="6" t="n"/>
      <c r="B94" s="16" t="n"/>
      <c r="C94" s="163" t="inlineStr">
        <is>
          <t>Jitter risk segment</t>
        </is>
      </c>
      <c r="D94" s="440" t="n"/>
      <c r="E94" s="440" t="n"/>
      <c r="F94" s="440" t="n"/>
      <c r="G94" s="440" t="n"/>
      <c r="H94" s="440" t="n"/>
      <c r="I94" s="442" t="n"/>
      <c r="J94" s="163">
        <f>[2]初始输入!B77</f>
        <v/>
      </c>
      <c r="K94" s="440" t="n"/>
      <c r="L94" s="440" t="n"/>
      <c r="M94" s="442" t="n"/>
      <c r="N94" s="36" t="n"/>
      <c r="O94" s="163" t="inlineStr">
        <is>
          <t>Jitter risk segment</t>
        </is>
      </c>
      <c r="P94" s="440" t="n"/>
      <c r="Q94" s="440" t="n"/>
      <c r="R94" s="440" t="n"/>
      <c r="S94" s="440" t="n"/>
      <c r="T94" s="440" t="n"/>
      <c r="U94" s="442" t="n"/>
      <c r="V94" s="163">
        <f>[2]初始输入!I77</f>
        <v/>
      </c>
      <c r="W94" s="440" t="n"/>
      <c r="X94" s="440" t="n"/>
      <c r="Y94" s="442" t="n"/>
      <c r="Z94" s="52" t="n"/>
      <c r="AA94" s="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Z94" s="17" t="n"/>
      <c r="BA94" s="17" t="n"/>
      <c r="BB94" s="17" t="n"/>
    </row>
    <row r="95" ht="23.1" customHeight="1" s="429">
      <c r="A95" s="6" t="n"/>
      <c r="B95" s="16" t="n"/>
      <c r="C95" s="163" t="inlineStr">
        <is>
          <t>Interference Pulley</t>
        </is>
      </c>
      <c r="D95" s="440" t="n"/>
      <c r="E95" s="440" t="n"/>
      <c r="F95" s="440" t="n"/>
      <c r="G95" s="440" t="n"/>
      <c r="H95" s="440" t="n"/>
      <c r="I95" s="442" t="n"/>
      <c r="J95" s="163">
        <f>[2]初始输入!B79</f>
        <v/>
      </c>
      <c r="K95" s="440" t="n"/>
      <c r="L95" s="440" t="n"/>
      <c r="M95" s="442" t="n"/>
      <c r="N95" s="36" t="n"/>
      <c r="O95" s="163" t="inlineStr">
        <is>
          <t>Interference Pulley</t>
        </is>
      </c>
      <c r="P95" s="440" t="n"/>
      <c r="Q95" s="440" t="n"/>
      <c r="R95" s="440" t="n"/>
      <c r="S95" s="440" t="n"/>
      <c r="T95" s="440" t="n"/>
      <c r="U95" s="442" t="n"/>
      <c r="V95" s="163">
        <f>[2]初始输入!I79</f>
        <v/>
      </c>
      <c r="W95" s="440" t="n"/>
      <c r="X95" s="440" t="n"/>
      <c r="Y95" s="442" t="n"/>
      <c r="Z95" s="52" t="n"/>
      <c r="AA95" s="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Z95" s="17" t="n"/>
      <c r="BA95" s="17" t="n"/>
      <c r="BB95" s="17" t="n"/>
    </row>
    <row r="96" ht="23.1" customHeight="1" s="429">
      <c r="A96" s="6" t="n"/>
      <c r="B96" s="16" t="n"/>
      <c r="C96" s="470" t="inlineStr">
        <is>
          <t>Tensioner pulley swing angle</t>
        </is>
      </c>
      <c r="D96" s="440" t="n"/>
      <c r="E96" s="440" t="n"/>
      <c r="F96" s="440" t="n"/>
      <c r="G96" s="440" t="n"/>
      <c r="H96" s="440" t="n"/>
      <c r="I96" s="442" t="n"/>
      <c r="J96" s="362">
        <f>IF(AND([2]初始输入!C41="Automatic",J95="TEN"),"±"&amp;[2]抖动计算!B7,"/")</f>
        <v/>
      </c>
      <c r="K96" s="440" t="n"/>
      <c r="L96" s="442" t="n"/>
      <c r="M96" s="54" t="inlineStr">
        <is>
          <t>deg</t>
        </is>
      </c>
      <c r="N96" s="36" t="n"/>
      <c r="O96" s="470" t="inlineStr">
        <is>
          <t>Tensioner pulley swing angle</t>
        </is>
      </c>
      <c r="P96" s="440" t="n"/>
      <c r="Q96" s="440" t="n"/>
      <c r="R96" s="440" t="n"/>
      <c r="S96" s="440" t="n"/>
      <c r="T96" s="440" t="n"/>
      <c r="U96" s="442" t="n"/>
      <c r="V96" s="163">
        <f>IF(AND([2]初始输入!C41="Automatic",V95="TEN"),"±"&amp;[2]抖动计算!B8,"/")</f>
        <v/>
      </c>
      <c r="W96" s="440" t="n"/>
      <c r="X96" s="442" t="n"/>
      <c r="Y96" s="54" t="inlineStr">
        <is>
          <t>deg</t>
        </is>
      </c>
      <c r="Z96" s="52" t="n"/>
      <c r="AA96" s="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Z96" s="17" t="n"/>
      <c r="BA96" s="17" t="n"/>
      <c r="BB96" s="17" t="n"/>
    </row>
    <row r="97" ht="23.1" customHeight="1" s="429">
      <c r="A97" s="6" t="n"/>
      <c r="B97" s="16" t="n"/>
      <c r="C97" s="163" t="inlineStr">
        <is>
          <t>Distance</t>
        </is>
      </c>
      <c r="D97" s="440" t="n"/>
      <c r="E97" s="440" t="n"/>
      <c r="F97" s="440" t="n"/>
      <c r="G97" s="440" t="n"/>
      <c r="H97" s="440" t="n"/>
      <c r="I97" s="442" t="n"/>
      <c r="J97" s="471">
        <f>[2]初始输入!B85</f>
        <v/>
      </c>
      <c r="K97" s="440" t="n"/>
      <c r="L97" s="442" t="n"/>
      <c r="M97" s="54" t="inlineStr">
        <is>
          <t>mm</t>
        </is>
      </c>
      <c r="N97" s="36" t="n"/>
      <c r="O97" s="163" t="inlineStr">
        <is>
          <t>Distance</t>
        </is>
      </c>
      <c r="P97" s="440" t="n"/>
      <c r="Q97" s="440" t="n"/>
      <c r="R97" s="440" t="n"/>
      <c r="S97" s="440" t="n"/>
      <c r="T97" s="440" t="n"/>
      <c r="U97" s="442" t="n"/>
      <c r="V97" s="471">
        <f>[2]初始输入!I85</f>
        <v/>
      </c>
      <c r="W97" s="440" t="n"/>
      <c r="X97" s="442" t="n"/>
      <c r="Y97" s="54" t="inlineStr">
        <is>
          <t>mm</t>
        </is>
      </c>
      <c r="Z97" s="52" t="n"/>
      <c r="AA97" s="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Z97" s="17" t="n"/>
      <c r="BA97" s="17" t="n"/>
      <c r="BB97" s="17" t="n"/>
    </row>
    <row r="98" ht="24.9" customHeight="1" s="429">
      <c r="A98" s="6" t="n"/>
      <c r="B98" s="16" t="n"/>
      <c r="C98" s="169" t="n"/>
      <c r="D98" s="169" t="n"/>
      <c r="E98" s="169" t="n"/>
      <c r="F98" s="169" t="n"/>
      <c r="G98" s="169" t="n"/>
      <c r="H98" s="169" t="n"/>
      <c r="I98" s="169" t="n"/>
      <c r="J98" s="169" t="n"/>
      <c r="K98" s="169" t="n"/>
      <c r="L98" s="169" t="n"/>
      <c r="M98" s="36" t="n"/>
      <c r="N98" s="36" t="n"/>
      <c r="O98" s="169" t="n"/>
      <c r="P98" s="169" t="n"/>
      <c r="Q98" s="169" t="n"/>
      <c r="R98" s="169" t="n"/>
      <c r="S98" s="169" t="n"/>
      <c r="T98" s="169" t="n"/>
      <c r="U98" s="169" t="n"/>
      <c r="V98" s="169" t="n"/>
      <c r="W98" s="169" t="n"/>
      <c r="X98" s="169" t="n"/>
      <c r="Y98" s="36" t="n"/>
      <c r="Z98" s="36" t="n"/>
      <c r="AA98" s="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Z98" s="17" t="n"/>
      <c r="BA98" s="17" t="n"/>
      <c r="BB98" s="17" t="n"/>
    </row>
    <row r="99" ht="24.9" customHeight="1" s="429">
      <c r="A99" s="6" t="n"/>
      <c r="B99" s="16" t="n"/>
      <c r="C99" s="169" t="n"/>
      <c r="D99" s="169" t="n"/>
      <c r="E99" s="169" t="n"/>
      <c r="F99" s="169" t="n"/>
      <c r="G99" s="169" t="n"/>
      <c r="H99" s="169" t="n"/>
      <c r="I99" s="169" t="n"/>
      <c r="J99" s="169" t="n"/>
      <c r="K99" s="169" t="n"/>
      <c r="L99" s="169" t="n"/>
      <c r="M99" s="36" t="n"/>
      <c r="N99" s="36" t="n"/>
      <c r="O99" s="169" t="n"/>
      <c r="P99" s="169" t="n"/>
      <c r="Q99" s="169" t="n"/>
      <c r="R99" s="169" t="n"/>
      <c r="S99" s="169" t="n"/>
      <c r="T99" s="169" t="n"/>
      <c r="U99" s="169" t="n"/>
      <c r="V99" s="169" t="n"/>
      <c r="W99" s="169" t="n"/>
      <c r="X99" s="169" t="n"/>
      <c r="Y99" s="36" t="n"/>
      <c r="Z99" s="36" t="n"/>
      <c r="AA99" s="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Z99" s="17" t="n"/>
      <c r="BA99" s="17" t="n"/>
      <c r="BB99" s="17" t="n"/>
    </row>
    <row r="100" ht="24.9" customHeight="1" s="429">
      <c r="A100" s="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Z100" s="17" t="n"/>
      <c r="BA100" s="17" t="n"/>
      <c r="BB100" s="17" t="n"/>
    </row>
    <row r="101" ht="24.9" customHeight="1" s="429" thickBot="1">
      <c r="A101" s="42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  <c r="AA101" s="46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Z101" s="17" t="n"/>
      <c r="BA101" s="17" t="n"/>
      <c r="BB101" s="17" t="n"/>
    </row>
    <row r="102" ht="24.9" customHeight="1" s="429">
      <c r="A102" s="1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2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Z102" s="17" t="n"/>
      <c r="BA102" s="17" t="n"/>
      <c r="BB102" s="17" t="n"/>
    </row>
    <row r="103" ht="6.75" customHeight="1" s="429">
      <c r="A103" s="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Z103" s="17" t="n"/>
      <c r="BA103" s="17" t="n"/>
      <c r="BB103" s="17" t="n"/>
    </row>
    <row r="104" ht="11.25" customHeight="1" s="429">
      <c r="A104" s="6" t="n"/>
      <c r="B104" s="16" t="n"/>
      <c r="C104" s="164" t="inlineStr">
        <is>
          <t>Geometry Analysis (Results）</t>
        </is>
      </c>
      <c r="W104" s="16" t="n"/>
      <c r="X104" s="16" t="n"/>
      <c r="Y104" s="16" t="n"/>
      <c r="Z104" s="16" t="n"/>
      <c r="AA104" s="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Z104" s="17" t="n"/>
      <c r="BA104" s="17" t="n"/>
      <c r="BB104" s="17" t="n"/>
    </row>
    <row r="105" ht="12" customHeight="1" s="429">
      <c r="A105" s="6" t="n"/>
      <c r="B105" s="16" t="n"/>
      <c r="W105" s="16" t="n"/>
      <c r="X105" s="208" t="n"/>
      <c r="Z105" s="29" t="n"/>
      <c r="AA105" s="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Z105" s="17" t="n"/>
      <c r="BA105" s="17" t="n"/>
      <c r="BB105" s="17" t="n"/>
    </row>
    <row r="106" ht="4.5" customHeight="1" s="429">
      <c r="A106" s="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Z106" s="17" t="n"/>
      <c r="BA106" s="17" t="n"/>
      <c r="BB106" s="17" t="n"/>
    </row>
    <row r="107" ht="7.2" customHeight="1" s="429">
      <c r="A107" s="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Z107" s="17" t="n"/>
      <c r="BA107" s="17" t="n"/>
      <c r="BB107" s="17" t="n"/>
    </row>
    <row r="108" ht="20.25" customHeight="1" s="429">
      <c r="A108" s="6" t="n"/>
      <c r="B108" s="16" t="n"/>
      <c r="C108" s="165" t="inlineStr">
        <is>
          <t xml:space="preserve"> Belt Data(Results)</t>
        </is>
      </c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Z108" s="17" t="n"/>
      <c r="BA108" s="17" t="n"/>
      <c r="BB108" s="17" t="n"/>
    </row>
    <row r="109" ht="6.75" customHeight="1" s="429">
      <c r="A109" s="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Z109" s="17" t="n"/>
      <c r="BA109" s="17" t="n"/>
      <c r="BB109" s="17" t="n"/>
    </row>
    <row r="110">
      <c r="A110" s="6" t="n"/>
      <c r="B110" s="16" t="n"/>
      <c r="C110" s="472" t="inlineStr">
        <is>
          <t>Eff.Drive Length (ref.ISO 9981)</t>
        </is>
      </c>
      <c r="D110" s="440" t="n"/>
      <c r="E110" s="440" t="n"/>
      <c r="F110" s="440" t="n"/>
      <c r="G110" s="440" t="n"/>
      <c r="H110" s="440" t="n"/>
      <c r="I110" s="442" t="n"/>
      <c r="J110" s="473">
        <f>ROUND([2]Geometry!K16,0)</f>
        <v/>
      </c>
      <c r="K110" s="440" t="n"/>
      <c r="L110" s="227" t="inlineStr">
        <is>
          <t>[mm]</t>
        </is>
      </c>
      <c r="M110" s="442" t="n"/>
      <c r="N110" s="36" t="n"/>
      <c r="O110" s="474" t="inlineStr">
        <is>
          <t>Max Stretch (Free Arm) :</t>
        </is>
      </c>
      <c r="P110" s="440" t="n"/>
      <c r="Q110" s="440" t="n"/>
      <c r="R110" s="440" t="n"/>
      <c r="S110" s="440" t="n"/>
      <c r="T110" s="442" t="n"/>
      <c r="U110" s="475">
        <f>(L126/L124-1)*100</f>
        <v/>
      </c>
      <c r="V110" s="459" t="n"/>
      <c r="W110" s="476" t="inlineStr">
        <is>
          <t>%  of Length</t>
        </is>
      </c>
      <c r="X110" s="459" t="n"/>
      <c r="Y110" s="458" t="n"/>
      <c r="Z110" s="16" t="n"/>
      <c r="AA110" s="7" t="n"/>
      <c r="AC110" s="17" t="n"/>
      <c r="AD110" s="17" t="n"/>
      <c r="AE110" s="17" t="n"/>
      <c r="AF110" s="33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Z110" s="17" t="n"/>
      <c r="BA110" s="17" t="n"/>
      <c r="BB110" s="17" t="n"/>
    </row>
    <row r="111">
      <c r="A111" s="6" t="n"/>
      <c r="B111" s="16" t="n"/>
      <c r="C111" s="477" t="inlineStr">
        <is>
          <t>Length Tolerance :</t>
        </is>
      </c>
      <c r="D111" s="439" t="n"/>
      <c r="E111" s="439" t="n"/>
      <c r="F111" s="439" t="n"/>
      <c r="G111" s="439" t="n"/>
      <c r="H111" s="439" t="n"/>
      <c r="I111" s="447" t="n"/>
      <c r="J111" s="478" t="inlineStr">
        <is>
          <t>±</t>
        </is>
      </c>
      <c r="K111" s="391">
        <f>[2]Input!H20</f>
        <v/>
      </c>
      <c r="L111" s="391" t="inlineStr">
        <is>
          <t>[mm]</t>
        </is>
      </c>
      <c r="M111" s="56" t="n"/>
      <c r="N111" s="36" t="n"/>
      <c r="O111" s="345" t="inlineStr">
        <is>
          <t>Belt design tension per rib:</t>
        </is>
      </c>
      <c r="P111" s="440" t="n"/>
      <c r="Q111" s="440" t="n"/>
      <c r="R111" s="440" t="n"/>
      <c r="S111" s="440" t="n"/>
      <c r="T111" s="440" t="n"/>
      <c r="U111" s="479">
        <f>I44/I37</f>
        <v/>
      </c>
      <c r="V111" s="440" t="n"/>
      <c r="W111" s="440" t="n"/>
      <c r="X111" s="480" t="inlineStr">
        <is>
          <t>[N/rib]</t>
        </is>
      </c>
      <c r="Y111" s="442" t="n"/>
      <c r="Z111" s="16" t="n"/>
      <c r="AA111" s="7" t="n"/>
      <c r="AC111" s="481">
        <f>[2]Input!H19</f>
        <v/>
      </c>
      <c r="AD111" s="17" t="n"/>
      <c r="AE111" s="17" t="n"/>
      <c r="AF111" s="33" t="n"/>
      <c r="AG111" s="34" t="n"/>
      <c r="AH111" s="58" t="n"/>
      <c r="AI111" s="58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Z111" s="17" t="n"/>
      <c r="BA111" s="17" t="n"/>
      <c r="BB111" s="17" t="n"/>
    </row>
    <row r="112" ht="9" customHeight="1" s="429">
      <c r="A112" s="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Z112" s="17" t="n"/>
      <c r="BA112" s="17" t="n"/>
      <c r="BB112" s="17" t="n"/>
    </row>
    <row r="113" ht="20.25" customHeight="1" s="429">
      <c r="A113" s="6" t="n"/>
      <c r="B113" s="16" t="n"/>
      <c r="C113" s="165" t="inlineStr">
        <is>
          <t xml:space="preserve">Tensioner Data(Results) </t>
        </is>
      </c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482" t="n"/>
      <c r="U113" s="482" t="n"/>
      <c r="V113" s="16" t="n"/>
      <c r="W113" s="16" t="n"/>
      <c r="X113" s="16" t="n"/>
      <c r="Y113" s="16" t="n"/>
      <c r="Z113" s="16" t="n"/>
      <c r="AA113" s="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Z113" s="17" t="n"/>
      <c r="BA113" s="17" t="n"/>
      <c r="BB113" s="17" t="n"/>
    </row>
    <row r="114" ht="6.75" customHeight="1" s="429">
      <c r="A114" s="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60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Z114" s="17" t="n"/>
      <c r="BA114" s="17" t="n"/>
      <c r="BB114" s="17" t="n"/>
    </row>
    <row r="115" ht="15.75" customHeight="1" s="429">
      <c r="A115" s="6" t="n"/>
      <c r="B115" s="16" t="n"/>
      <c r="C115" s="483">
        <f>IF([2]Input!F17="YES","Design Torque [Nm] :","       /")</f>
        <v/>
      </c>
      <c r="D115" s="440" t="n"/>
      <c r="E115" s="440" t="n"/>
      <c r="F115" s="440" t="n"/>
      <c r="G115" s="440" t="n"/>
      <c r="H115" s="442" t="n"/>
      <c r="I115" s="484">
        <f>IF([2]Input!F17="YES",N123,"/   ")</f>
        <v/>
      </c>
      <c r="J115" s="440" t="n"/>
      <c r="K115" s="61">
        <f>IF([2]Input!F17="YES","Nm"," ")</f>
        <v/>
      </c>
      <c r="L115" s="485">
        <f>IF([2]Input!F17="YES",CONCATENATE("±",ROUND(0.1*I115,1),"Nm"),"/")</f>
        <v/>
      </c>
      <c r="M115" s="442" t="n"/>
      <c r="N115" s="62" t="n"/>
      <c r="O115" s="394">
        <f>IF([2]Input!F17="YES","Total Travel Angle (Min) :","Total Travel Length (Min) :")</f>
        <v/>
      </c>
      <c r="P115" s="440" t="n"/>
      <c r="Q115" s="440" t="n"/>
      <c r="R115" s="440" t="n"/>
      <c r="S115" s="440" t="n"/>
      <c r="T115" s="442" t="n"/>
      <c r="U115" s="457">
        <f>IF([2]Input!F17="YES",CONCATENATE("≥ ",IF(ABS(J121-J126)&gt;180,ROUND(360-ABS(J121-J126),1),ROUND(ABS(J121-J126),1))),CONCATENATE("≥ ",ROUND([2]Input!F48,2)))</f>
        <v/>
      </c>
      <c r="V115" s="440" t="n"/>
      <c r="W115" s="440" t="n"/>
      <c r="X115" s="294">
        <f>X116</f>
        <v/>
      </c>
      <c r="Y115" s="442" t="n"/>
      <c r="Z115" s="16" t="n"/>
      <c r="AA115" s="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Z115" s="17" t="n"/>
      <c r="BA115" s="17" t="n"/>
      <c r="BB115" s="17" t="n"/>
    </row>
    <row r="116" ht="15.75" customHeight="1" s="429">
      <c r="A116" s="6" t="n"/>
      <c r="B116" s="16" t="n"/>
      <c r="C116" s="445" t="inlineStr">
        <is>
          <t>Belt Take-up/Arm Ratio :</t>
        </is>
      </c>
      <c r="D116" s="440" t="n"/>
      <c r="E116" s="440" t="n"/>
      <c r="F116" s="440" t="n"/>
      <c r="G116" s="440" t="n"/>
      <c r="H116" s="442" t="n"/>
      <c r="I116" s="486">
        <f>CONCATENATE(ROUND(ABS(L124-L122)/IF(ABS(J124-J122)&gt;180,360-ABS(J124-J122),ABS(J124-J122)),3),IF([2]Input!F17="YES","[mm/deg]","[mm/mm]"))</f>
        <v/>
      </c>
      <c r="J116" s="487" t="n"/>
      <c r="K116" s="488" t="n"/>
      <c r="L116" s="489">
        <f>CONCATENATE("(",ROUND(100*(ABS(L124-L122)/IF(ABS(J124-J122)&gt;180,360-ABS(J124-J122),ABS(J124-J122)))/L123,3),"%)")</f>
        <v/>
      </c>
      <c r="M116" s="442" t="n"/>
      <c r="N116" s="36" t="n"/>
      <c r="O116" s="445">
        <f>IF([2]Input!F17="YES","Nominal Working Angle :","Nominal Working Length :")</f>
        <v/>
      </c>
      <c r="P116" s="440" t="n"/>
      <c r="Q116" s="440" t="n"/>
      <c r="R116" s="440" t="n"/>
      <c r="S116" s="440" t="n"/>
      <c r="T116" s="442" t="n"/>
      <c r="U116" s="490">
        <f>IF([2]Input!F17="YES",IF(ABS(J123-J126)&gt;180,360-ABS(J123-J126),ABS(J123-J126)),ROUND([2]Input!F49,2))</f>
        <v/>
      </c>
      <c r="V116" s="439" t="n"/>
      <c r="W116" s="439" t="n"/>
      <c r="X116" s="329">
        <f>IF([2]Input!F17="YES","[deg]","[mm]")</f>
        <v/>
      </c>
      <c r="Y116" s="447" t="n"/>
      <c r="Z116" s="52" t="n"/>
      <c r="AA116" s="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Z116" s="17" t="n"/>
      <c r="BA116" s="17" t="n"/>
      <c r="BB116" s="17" t="n"/>
    </row>
    <row r="117" ht="9" customHeight="1" s="429">
      <c r="A117" s="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Z117" s="17" t="n"/>
      <c r="BA117" s="17" t="n"/>
      <c r="BB117" s="17" t="n"/>
    </row>
    <row r="118" ht="18.75" customHeight="1" s="429">
      <c r="A118" s="6" t="n"/>
      <c r="B118" s="16" t="n"/>
      <c r="C118" s="165" t="inlineStr">
        <is>
          <t>Tensioner Pulley Geometry(Results)</t>
        </is>
      </c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Z118" s="17" t="n"/>
      <c r="BA118" s="17" t="n"/>
      <c r="BB118" s="17" t="n"/>
    </row>
    <row r="119" ht="27" customHeight="1" s="429">
      <c r="A119" s="6" t="n"/>
      <c r="B119" s="491" t="inlineStr">
        <is>
          <t>Tensioner        
Position</t>
        </is>
      </c>
      <c r="C119" s="459" t="n"/>
      <c r="D119" s="459" t="n"/>
      <c r="E119" s="458" t="n"/>
      <c r="F119" s="248" t="inlineStr">
        <is>
          <t>Pulley Position</t>
        </is>
      </c>
      <c r="G119" s="440" t="n"/>
      <c r="H119" s="440" t="n"/>
      <c r="I119" s="442" t="n"/>
      <c r="J119" s="262">
        <f>IF([2]Input!F17="YES","Arm Position [deg]","Arm Travel [mm]")</f>
        <v/>
      </c>
      <c r="K119" s="458" t="n"/>
      <c r="L119" s="262" t="inlineStr">
        <is>
          <t>Effective Belt Length  [mm]</t>
        </is>
      </c>
      <c r="M119" s="458" t="n"/>
      <c r="N119" s="262">
        <f>IF([2]Input!F17="YES","Tensioner Torque [Nm]"," NA ")</f>
        <v/>
      </c>
      <c r="O119" s="458" t="n"/>
      <c r="P119" s="444" t="inlineStr">
        <is>
          <t>Belt Design Tension [N]</t>
        </is>
      </c>
      <c r="Q119" s="458" t="n"/>
      <c r="R119" s="262" t="inlineStr">
        <is>
          <t>Pulley Wrap Angle [deg]</t>
        </is>
      </c>
      <c r="S119" s="458" t="n"/>
      <c r="T119" s="262" t="inlineStr">
        <is>
          <t>Pulley Hubload  [N]</t>
        </is>
      </c>
      <c r="U119" s="458" t="n"/>
      <c r="V119" s="262" t="inlineStr">
        <is>
          <t>Hubload Direction  [deg]</t>
        </is>
      </c>
      <c r="W119" s="458" t="n"/>
      <c r="X119" s="262">
        <f>IF([2]Input!F17="YES","Hubload to  Arm Angle  [deg]"," NA ")</f>
        <v/>
      </c>
      <c r="Y119" s="459" t="n"/>
      <c r="Z119" s="458" t="n"/>
      <c r="AA119" s="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Z119" s="17" t="n"/>
      <c r="BA119" s="17" t="n"/>
      <c r="BB119" s="17" t="n"/>
    </row>
    <row r="120" ht="24" customHeight="1" s="429">
      <c r="A120" s="6" t="n"/>
      <c r="B120" s="461" t="n"/>
      <c r="C120" s="439" t="n"/>
      <c r="D120" s="439" t="n"/>
      <c r="E120" s="447" t="n"/>
      <c r="F120" s="248" t="inlineStr">
        <is>
          <t>X</t>
        </is>
      </c>
      <c r="G120" s="442" t="n"/>
      <c r="H120" s="248" t="inlineStr">
        <is>
          <t>Y</t>
        </is>
      </c>
      <c r="I120" s="442" t="n"/>
      <c r="J120" s="461" t="n"/>
      <c r="K120" s="447" t="n"/>
      <c r="L120" s="461" t="n"/>
      <c r="M120" s="447" t="n"/>
      <c r="N120" s="461" t="n"/>
      <c r="O120" s="447" t="n"/>
      <c r="P120" s="461" t="n"/>
      <c r="Q120" s="447" t="n"/>
      <c r="R120" s="461" t="n"/>
      <c r="S120" s="447" t="n"/>
      <c r="T120" s="461" t="n"/>
      <c r="U120" s="447" t="n"/>
      <c r="V120" s="461" t="n"/>
      <c r="W120" s="447" t="n"/>
      <c r="X120" s="461" t="n"/>
      <c r="Y120" s="439" t="n"/>
      <c r="Z120" s="447" t="n"/>
      <c r="AA120" s="7" t="n"/>
      <c r="AC120" s="17" t="n"/>
      <c r="AD120" s="283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Z120" s="17" t="n"/>
      <c r="BA120" s="17" t="n"/>
      <c r="BB120" s="17" t="n"/>
    </row>
    <row r="121" ht="18.75" customHeight="1" s="429">
      <c r="A121" s="6" t="n"/>
      <c r="B121" s="307" t="inlineStr">
        <is>
          <t>Install</t>
        </is>
      </c>
      <c r="C121" s="440" t="n"/>
      <c r="D121" s="227">
        <f>CONCATENATE("-",OFFSET(C49,MATCH("TEN",E50:E59,0),0),"/TEN")</f>
        <v/>
      </c>
      <c r="E121" s="442" t="n"/>
      <c r="F121" s="492">
        <f>IF([2]Input!$F$17="YES",[2]Input!D26,[2]Input!D47)</f>
        <v/>
      </c>
      <c r="G121" s="442" t="n"/>
      <c r="H121" s="493">
        <f>IF([2]Input!$F$17="YES",[2]Input!E26,[2]Input!E47)</f>
        <v/>
      </c>
      <c r="I121" s="442" t="n"/>
      <c r="J121" s="493">
        <f>IF([2]Input!F17="YES",IF([2]Input!F26&lt;0,360+[2]Input!F26,IF([2]Input!F26&gt;360,[2]Input!F26-360,[2]Input!F26)),[2]Input!F47)</f>
        <v/>
      </c>
      <c r="K121" s="442" t="n"/>
      <c r="L121" s="494">
        <f>[2]Geometry!G43</f>
        <v/>
      </c>
      <c r="M121" s="442" t="n"/>
      <c r="N121" s="493">
        <f>IF([2]Input!I26="NO","no install",IF([2]Input!F17="YES",[2]Input!D34," / "))</f>
        <v/>
      </c>
      <c r="O121" s="442" t="n"/>
      <c r="P121" s="493">
        <f>IF([2]Input!I26="NO","no install",IF(ISERROR([2]Input!H32),"Invalid",IF([2]Input!H32&gt;10000,"+∞",[2]Input!H32)))</f>
        <v/>
      </c>
      <c r="Q121" s="442" t="n"/>
      <c r="R121" s="493">
        <f>IF(ISERROR([2]Input!F34),"Invalid",[2]Input!F34)</f>
        <v/>
      </c>
      <c r="S121" s="442" t="n"/>
      <c r="T121" s="493">
        <f>IF([2]Input!I26="NO","no install",IF(ISERROR([2]Input!G34),"Invalid",IF([2]Input!G34&gt;10000,"+∞",[2]Input!G34)))</f>
        <v/>
      </c>
      <c r="U121" s="442" t="n"/>
      <c r="V121" s="493">
        <f>IF([2]Input!I26="NO","no install",IF(ISERROR([2]Input!M34),"Invalid",[2]Input!M34))</f>
        <v/>
      </c>
      <c r="W121" s="442" t="n"/>
      <c r="X121" s="493">
        <f>IF([2]Input!I26="NO","no install",IF(ISERROR(IF([2]Input!F17="YES",IF([2]Input!O34&gt;180,360-[2]Input!O34,[2]Input!O34)," / ")),"Invalid",IF([2]Input!F17="YES",IF([2]Input!O34&gt;180,360-[2]Input!O34,[2]Input!O34)," / ")))</f>
        <v/>
      </c>
      <c r="Y121" s="440" t="n"/>
      <c r="Z121" s="442" t="n"/>
      <c r="AA121" s="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Z121" s="17" t="n"/>
      <c r="BA121" s="17" t="n"/>
      <c r="BB121" s="17" t="n"/>
    </row>
    <row r="122" ht="18.75" customHeight="1" s="429">
      <c r="A122" s="6" t="n"/>
      <c r="B122" s="248" t="inlineStr">
        <is>
          <t>Min Belt</t>
        </is>
      </c>
      <c r="C122" s="440" t="n"/>
      <c r="D122" s="440" t="n"/>
      <c r="E122" s="442" t="n"/>
      <c r="F122" s="492">
        <f>IF([2]Input!$F$17="YES",[2]Input!D27,[2]Input!D48)</f>
        <v/>
      </c>
      <c r="G122" s="442" t="n"/>
      <c r="H122" s="493">
        <f>IF([2]Input!$F$17="YES",[2]Input!E27,[2]Input!E48)</f>
        <v/>
      </c>
      <c r="I122" s="442" t="n"/>
      <c r="J122" s="492">
        <f>IF([2]Input!F17="YES",IF([2]Input!F27&lt;0,360+[2]Input!F27,IF([2]Input!F27&gt;360,[2]Input!F27-360,[2]Input!F27)),[2]Input!F48)</f>
        <v/>
      </c>
      <c r="K122" s="442" t="n"/>
      <c r="L122" s="495">
        <f>IF([2]Input!I27="NO","Error",[2]Input!G27)</f>
        <v/>
      </c>
      <c r="M122" s="442" t="n"/>
      <c r="N122" s="492">
        <f>IF([2]Input!I27="NO","Error",IF([2]Input!F17="YES",[2]Input!D35," / "))</f>
        <v/>
      </c>
      <c r="O122" s="442" t="n"/>
      <c r="P122" s="492">
        <f>IF([2]Input!I27="NO","Error",IF(ISERROR([2]Input!H35),"Invalid",[2]Input!H35))</f>
        <v/>
      </c>
      <c r="Q122" s="442" t="n"/>
      <c r="R122" s="492">
        <f>IF([2]Input!I27="NO","Error",IF(ISERROR([2]Input!F35),"Invalid",[2]Input!F35))</f>
        <v/>
      </c>
      <c r="S122" s="442" t="n"/>
      <c r="T122" s="492">
        <f>IF([2]Input!I27="NO","Error",IF(ISERROR([2]Input!G35),"Invalid",[2]Input!G35))</f>
        <v/>
      </c>
      <c r="U122" s="442" t="n"/>
      <c r="V122" s="492">
        <f>IF([2]Input!I27="NO","Error",IF(ISERROR([2]Input!M35),"Invalid",[2]Input!M35))</f>
        <v/>
      </c>
      <c r="W122" s="442" t="n"/>
      <c r="X122" s="492">
        <f>IF([2]Input!I27="NO","Error",IF(ISERROR(IF([2]Input!F17="YES",IF([2]Input!O35&gt;180,360-[2]Input!O35,[2]Input!O35)," / ")),"Invalid",IF([2]Input!F17="YES",IF([2]Input!O35&gt;180,360-[2]Input!O35,[2]Input!O35)," / ")))</f>
        <v/>
      </c>
      <c r="Y122" s="440" t="n"/>
      <c r="Z122" s="442" t="n"/>
      <c r="AA122" s="7" t="n"/>
      <c r="AC122" s="496" t="n"/>
      <c r="AD122" s="496" t="n"/>
      <c r="AE122" s="496" t="n"/>
      <c r="AF122" s="496" t="n"/>
      <c r="AG122" s="497" t="n"/>
      <c r="AH122" s="497" t="n"/>
      <c r="AI122" s="498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Z122" s="17" t="n"/>
      <c r="BA122" s="17" t="n"/>
      <c r="BB122" s="17" t="n"/>
    </row>
    <row r="123" ht="18.75" customHeight="1" s="429">
      <c r="A123" s="6" t="n"/>
      <c r="B123" s="499" t="inlineStr">
        <is>
          <t>Nominal Belt</t>
        </is>
      </c>
      <c r="C123" s="440" t="n"/>
      <c r="D123" s="440" t="n"/>
      <c r="E123" s="442" t="n"/>
      <c r="F123" s="500">
        <f>IF([2]Input!$F$17="YES",[2]Input!D28,[2]Input!D49)</f>
        <v/>
      </c>
      <c r="G123" s="442" t="n"/>
      <c r="H123" s="500">
        <f>IF([2]Input!$F$17="YES",[2]Input!E28,[2]Input!E49)</f>
        <v/>
      </c>
      <c r="I123" s="442" t="n"/>
      <c r="J123" s="500">
        <f>IF([2]Input!F17="YES",IF([2]Input!F28&lt;360,[2]Input!F28,[2]Input!F28-360),[2]Input!F49)</f>
        <v/>
      </c>
      <c r="K123" s="442" t="n"/>
      <c r="L123" s="501">
        <f>[2]Input!G28</f>
        <v/>
      </c>
      <c r="M123" s="442" t="n"/>
      <c r="N123" s="500">
        <f>IF([2]Input!F17="YES",[2]Input!D36," / ")</f>
        <v/>
      </c>
      <c r="O123" s="442" t="n"/>
      <c r="P123" s="500">
        <f>[2]Input!H36</f>
        <v/>
      </c>
      <c r="Q123" s="442" t="n"/>
      <c r="R123" s="500">
        <f>[2]Input!F36</f>
        <v/>
      </c>
      <c r="S123" s="442" t="n"/>
      <c r="T123" s="500">
        <f>[2]Input!G36</f>
        <v/>
      </c>
      <c r="U123" s="442" t="n"/>
      <c r="V123" s="500">
        <f>[2]Input!M36</f>
        <v/>
      </c>
      <c r="W123" s="442" t="n"/>
      <c r="X123" s="500">
        <f>IF([2]Input!F17="YES",IF([2]Input!O36&gt;180,360-[2]Input!O36,[2]Input!O36)," / ")</f>
        <v/>
      </c>
      <c r="Y123" s="440" t="n"/>
      <c r="Z123" s="442" t="n"/>
      <c r="AA123" s="7" t="n"/>
      <c r="AC123" s="502">
        <f>J124-J124</f>
        <v/>
      </c>
      <c r="AD123" s="71" t="n"/>
      <c r="AE123" s="498">
        <f>ABS(L124-L124)</f>
        <v/>
      </c>
      <c r="AF123" s="496" t="n"/>
      <c r="AG123" s="497" t="n"/>
      <c r="AH123" s="497" t="n"/>
      <c r="AI123" s="498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Z123" s="17" t="n"/>
      <c r="BA123" s="17" t="n"/>
      <c r="BB123" s="17" t="n"/>
    </row>
    <row r="124" ht="18.75" customHeight="1" s="429">
      <c r="A124" s="6" t="n"/>
      <c r="B124" s="248" t="inlineStr">
        <is>
          <t>Max Belt</t>
        </is>
      </c>
      <c r="C124" s="440" t="n"/>
      <c r="D124" s="440" t="n"/>
      <c r="E124" s="442" t="n"/>
      <c r="F124" s="492">
        <f>IF([2]Input!$F$17="YES",[2]Input!D29,[2]Input!D50)</f>
        <v/>
      </c>
      <c r="G124" s="442" t="n"/>
      <c r="H124" s="493">
        <f>IF([2]Input!$F$17="YES",[2]Input!E29,[2]Input!E50)</f>
        <v/>
      </c>
      <c r="I124" s="442" t="n"/>
      <c r="J124" s="492">
        <f>IF([2]Input!F17="YES",IF([2]Input!F29&lt;0,360+[2]Input!F29,IF([2]Input!F29&gt;360,[2]Input!F29-360,[2]Input!F29)),[2]Input!F50)</f>
        <v/>
      </c>
      <c r="K124" s="442" t="n"/>
      <c r="L124" s="495">
        <f>IF([2]Input!I29="NO","Error",[2]Input!G29)</f>
        <v/>
      </c>
      <c r="M124" s="442" t="n"/>
      <c r="N124" s="492">
        <f>IF([2]Input!I29="NO","Error",IF([2]Input!F17="YES",[2]Input!D37," / "))</f>
        <v/>
      </c>
      <c r="O124" s="442" t="n"/>
      <c r="P124" s="492">
        <f>IF([2]Input!I29="NO","Error",IF(ISERROR([2]Input!H37),"Invalid",[2]Input!H37))</f>
        <v/>
      </c>
      <c r="Q124" s="442" t="n"/>
      <c r="R124" s="492">
        <f>IF([2]Input!I29="NO","Error",IF(ISERROR([2]Input!F37),"Invalid",[2]Input!F37))</f>
        <v/>
      </c>
      <c r="S124" s="442" t="n"/>
      <c r="T124" s="492">
        <f>IF([2]Input!I29="NO","Error",IF(ISERROR([2]Input!G37),"Invalid",[2]Input!G37))</f>
        <v/>
      </c>
      <c r="U124" s="442" t="n"/>
      <c r="V124" s="492">
        <f>IF([2]Input!I29="NO","Error",IF(ISERROR([2]Input!M37),"Invalid",[2]Input!M37))</f>
        <v/>
      </c>
      <c r="W124" s="442" t="n"/>
      <c r="X124" s="492">
        <f>IF([2]Input!I29="NO","Error",IF(ISERROR(IF([2]Input!F17="YES",IF([2]Input!O37&gt;180,360-[2]Input!O37,[2]Input!O37)," / ")),"Invalid",IF([2]Input!F17="YES",IF([2]Input!O37&gt;180,360-[2]Input!O37,[2]Input!O37)," / ")))</f>
        <v/>
      </c>
      <c r="Y124" s="440" t="n"/>
      <c r="Z124" s="442" t="n"/>
      <c r="AA124" s="7" t="n"/>
      <c r="AC124" s="502">
        <f>IF(ABS(J123-J124)&gt;180,360-ABS(J123-J124),ABS(J123-J124))</f>
        <v/>
      </c>
      <c r="AD124" s="71" t="n"/>
      <c r="AE124" s="498">
        <f>ABS(L123-L124)</f>
        <v/>
      </c>
      <c r="AF124" s="496" t="n"/>
      <c r="AG124" s="497" t="n"/>
      <c r="AH124" s="497" t="n"/>
      <c r="AI124" s="498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Z124" s="17" t="n"/>
      <c r="BA124" s="17" t="n"/>
      <c r="BB124" s="17" t="n"/>
    </row>
    <row r="125" ht="18.75" customHeight="1" s="429">
      <c r="A125" s="6" t="n"/>
      <c r="B125" s="163" t="inlineStr">
        <is>
          <t>Stretch &amp; wear</t>
        </is>
      </c>
      <c r="C125" s="440" t="n"/>
      <c r="D125" s="440" t="n"/>
      <c r="E125" s="442" t="n"/>
      <c r="F125" s="492">
        <f>IF([2]Input!$F$17="YES",[2]Input!D30,[2]Input!D51)</f>
        <v/>
      </c>
      <c r="G125" s="442" t="n"/>
      <c r="H125" s="493">
        <f>IF([2]Input!$F$17="YES",[2]Input!E30,[2]Input!E51)</f>
        <v/>
      </c>
      <c r="I125" s="442" t="n"/>
      <c r="J125" s="493">
        <f>IF([2]Input!F17="YES",IF([2]Input!F30&lt;0,360+[2]Input!F30,IF([2]Input!F30&gt;360,[2]Input!F30-360,[2]Input!F30)),[2]Input!F51)</f>
        <v/>
      </c>
      <c r="K125" s="442" t="n"/>
      <c r="L125" s="494">
        <f>IF([2]Input!I30="NO","Error",[2]Input!G30)</f>
        <v/>
      </c>
      <c r="M125" s="442" t="n"/>
      <c r="N125" s="493">
        <f>IF([2]Input!I30="NO","Error",IF([2]Input!F17="YES",[2]Input!D38," / "))</f>
        <v/>
      </c>
      <c r="O125" s="442" t="n"/>
      <c r="P125" s="493">
        <f>IF([2]Input!I30="NO","Error",IF(ISERROR([2]Input!H38),"Invalid",[2]Input!H38))</f>
        <v/>
      </c>
      <c r="Q125" s="442" t="n"/>
      <c r="R125" s="493">
        <f>IF([2]Input!I30="NO","Error",IF(ISERROR([2]Input!F38),"Invalid",[2]Input!F38))</f>
        <v/>
      </c>
      <c r="S125" s="442" t="n"/>
      <c r="T125" s="493">
        <f>IF([2]Input!I30="NO","Error",IF(ISERROR([2]Input!G38),"Invalid",[2]Input!G38))</f>
        <v/>
      </c>
      <c r="U125" s="442" t="n"/>
      <c r="V125" s="493">
        <f>IF([2]Input!I30="NO","Error",IF(ISERROR([2]Input!M38),"Invalid",[2]Input!M38))</f>
        <v/>
      </c>
      <c r="W125" s="442" t="n"/>
      <c r="X125" s="493">
        <f>IF([2]Input!I30="NO","Error",IF(ISERROR(IF([2]Input!F17="YES",IF([2]Input!O38&gt;180,360-[2]Input!O38,[2]Input!O38)," / ")),"Invalid",IF([2]Input!F17="YES",IF([2]Input!O38&gt;180,360-[2]Input!O38,[2]Input!O38)," / ")))</f>
        <v/>
      </c>
      <c r="Y125" s="440" t="n"/>
      <c r="Z125" s="442" t="n"/>
      <c r="AA125" s="7" t="n"/>
      <c r="AC125" s="502">
        <f>IF(ABS(J122-J124)&gt;180,360-ABS(J122-J124),ABS(J122-J124))</f>
        <v/>
      </c>
      <c r="AD125" s="71" t="n"/>
      <c r="AE125" s="498">
        <f>ABS(L122-L124)</f>
        <v/>
      </c>
      <c r="AF125" s="496" t="n"/>
      <c r="AG125" s="497" t="n"/>
      <c r="AH125" s="496">
        <f>IF(ABS(J126-J125)&gt;180,360-ABS(J126-J125),ABS(J126-J125))</f>
        <v/>
      </c>
      <c r="AI125" s="481">
        <f>[2]Input!Q16</f>
        <v/>
      </c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Z125" s="17" t="n"/>
      <c r="BA125" s="17" t="n"/>
      <c r="BB125" s="17" t="n"/>
    </row>
    <row r="126" ht="18.75" customHeight="1" s="429">
      <c r="A126" s="6" t="n"/>
      <c r="B126" s="248" t="inlineStr">
        <is>
          <t>Free Arm</t>
        </is>
      </c>
      <c r="C126" s="440" t="n"/>
      <c r="D126" s="440" t="n"/>
      <c r="E126" s="442" t="n"/>
      <c r="F126" s="492">
        <f>IF([2]Input!$F$17="YES",[2]Input!D31,[2]Input!D52)</f>
        <v/>
      </c>
      <c r="G126" s="442" t="n"/>
      <c r="H126" s="493">
        <f>IF([2]Input!$F$17="YES",[2]Input!E31,[2]Input!E52)</f>
        <v/>
      </c>
      <c r="I126" s="442" t="n"/>
      <c r="J126" s="492">
        <f>IF([2]Input!F17="YES",IF([2]Input!F31&lt;0,360+[2]Input!F31,IF([2]Input!F31&gt;360,[2]Input!F31-360,[2]Input!F31)),[2]Input!F52)</f>
        <v/>
      </c>
      <c r="K126" s="442" t="n"/>
      <c r="L126" s="495">
        <f>[2]Input!G31</f>
        <v/>
      </c>
      <c r="M126" s="442" t="n"/>
      <c r="N126" s="492">
        <f>IF([2]Input!F17="YES",[2]Input!D39," / ")</f>
        <v/>
      </c>
      <c r="O126" s="442" t="n"/>
      <c r="P126" s="492">
        <f>IF(ISERROR([2]Input!H39),"Invalid",[2]Input!H39)</f>
        <v/>
      </c>
      <c r="Q126" s="442" t="n"/>
      <c r="R126" s="492">
        <f>IF(ISERROR([2]Input!F39),"Invalid",[2]Input!F39)</f>
        <v/>
      </c>
      <c r="S126" s="442" t="n"/>
      <c r="T126" s="492">
        <f>IF(ISERROR([2]Input!G39),"Invalid",[2]Input!G39)</f>
        <v/>
      </c>
      <c r="U126" s="442" t="n"/>
      <c r="V126" s="492">
        <f>IF(ISERROR([2]Input!M39),"Invalid",[2]Input!M39)</f>
        <v/>
      </c>
      <c r="W126" s="442" t="n"/>
      <c r="X126" s="492">
        <f>IF(ISERROR(IF([2]Input!F17="YES",IF([2]Input!O39&gt;180,360-[2]Input!O39,[2]Input!O39)," / ")),"Invalid",IF([2]Input!F17="YES",IF([2]Input!O39&gt;180,360-[2]Input!O39,[2]Input!O39)," / "))</f>
        <v/>
      </c>
      <c r="Y126" s="440" t="n"/>
      <c r="Z126" s="442" t="n"/>
      <c r="AA126" s="7" t="n"/>
      <c r="AC126" s="502">
        <f>IF(ABS(J121-J124)&gt;180,360-ABS(J121-J124),ABS(J121-J124))</f>
        <v/>
      </c>
      <c r="AD126" s="71" t="n"/>
      <c r="AE126" s="498" t="n"/>
      <c r="AF126" s="496">
        <f>IF(ABS(J126-J124)&gt;180,360-ABS(J126-J124),ABS(J126-J124))</f>
        <v/>
      </c>
      <c r="AG126" s="496">
        <f>IF(ABS(J125-J124)&gt;180,360-ABS(J125-J124),ABS(J125-J124))</f>
        <v/>
      </c>
      <c r="AH126" s="496">
        <f>IF(AF126&gt;AG126,"YES","NO")</f>
        <v/>
      </c>
      <c r="AI126" s="481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Z126" s="17" t="n"/>
      <c r="BA126" s="17" t="n"/>
      <c r="BB126" s="17" t="n"/>
    </row>
    <row r="127" ht="10.5" customHeight="1" s="429">
      <c r="A127" s="6" t="n"/>
      <c r="B127" s="72" t="n"/>
      <c r="C127" s="72" t="n"/>
      <c r="D127" s="72" t="n"/>
      <c r="E127" s="72" t="n"/>
      <c r="F127" s="503" t="n"/>
      <c r="G127" s="503" t="n"/>
      <c r="H127" s="503" t="n"/>
      <c r="I127" s="503" t="n"/>
      <c r="J127" s="503" t="n"/>
      <c r="K127" s="503" t="n"/>
      <c r="L127" s="504" t="n"/>
      <c r="M127" s="504" t="n"/>
      <c r="N127" s="503" t="n"/>
      <c r="O127" s="503" t="n"/>
      <c r="P127" s="503" t="n"/>
      <c r="Q127" s="503" t="n"/>
      <c r="R127" s="503" t="n"/>
      <c r="S127" s="503" t="n"/>
      <c r="T127" s="503" t="n"/>
      <c r="U127" s="503" t="n"/>
      <c r="V127" s="503" t="n"/>
      <c r="W127" s="503" t="n"/>
      <c r="X127" s="503" t="n"/>
      <c r="Y127" s="503" t="n"/>
      <c r="Z127" s="503" t="n"/>
      <c r="AA127" s="7" t="n"/>
      <c r="AC127" s="505" t="n"/>
      <c r="AD127" s="71" t="n"/>
      <c r="AE127" s="496" t="n"/>
      <c r="AF127" s="496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Z127" s="17" t="n"/>
      <c r="BA127" s="17" t="n"/>
      <c r="BB127" s="17" t="n"/>
    </row>
    <row r="128" ht="3" customHeight="1" s="429">
      <c r="A128" s="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Z128" s="17" t="n"/>
      <c r="BA128" s="17" t="n"/>
      <c r="BB128" s="17" t="n"/>
    </row>
    <row r="129" ht="20.25" customHeight="1" s="429">
      <c r="A129" s="6" t="n"/>
      <c r="B129" s="16" t="n"/>
      <c r="C129" s="165" t="inlineStr">
        <is>
          <t xml:space="preserve">Belt Drive System Geometry(Results) </t>
        </is>
      </c>
      <c r="O129" s="16" t="n"/>
      <c r="P129" s="76" t="inlineStr">
        <is>
          <t>Belt Take-up Ratio</t>
        </is>
      </c>
      <c r="Q129" s="76" t="n"/>
      <c r="R129" s="76" t="n"/>
      <c r="S129" s="76" t="n"/>
      <c r="T129" s="76" t="n"/>
      <c r="U129" s="76" t="n"/>
      <c r="V129" s="76" t="n"/>
      <c r="W129" s="76" t="n"/>
      <c r="X129" s="16" t="n"/>
      <c r="Y129" s="16" t="n"/>
      <c r="Z129" s="16" t="n"/>
      <c r="AA129" s="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Z129" s="17" t="n"/>
      <c r="BA129" s="17" t="n"/>
      <c r="BB129" s="17" t="n"/>
    </row>
    <row r="130" ht="6.75" customHeight="1" s="429">
      <c r="A130" s="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Z130" s="17" t="n"/>
      <c r="BA130" s="17" t="n"/>
      <c r="BB130" s="17" t="n"/>
    </row>
    <row r="131" ht="18" customHeight="1" s="429">
      <c r="A131" s="6" t="n"/>
      <c r="B131" s="16" t="n"/>
      <c r="C131" s="16" t="n"/>
      <c r="D131" s="506" t="inlineStr">
        <is>
          <t>Pulley</t>
        </is>
      </c>
      <c r="E131" s="458" t="n"/>
      <c r="F131" s="460" t="inlineStr">
        <is>
          <t>Span Length</t>
        </is>
      </c>
      <c r="G131" s="459" t="n"/>
      <c r="H131" s="458" t="n"/>
      <c r="I131" s="460" t="inlineStr">
        <is>
          <t>Wrap Angle</t>
        </is>
      </c>
      <c r="J131" s="459" t="n"/>
      <c r="K131" s="458" t="n"/>
      <c r="L131" s="460" t="inlineStr">
        <is>
          <t>Speed Ratio</t>
        </is>
      </c>
      <c r="M131" s="459" t="n"/>
      <c r="N131" s="458" t="n"/>
      <c r="O131" s="16" t="n"/>
      <c r="P131" s="77" t="n"/>
      <c r="Q131" s="77" t="n"/>
      <c r="R131" s="77" t="n"/>
      <c r="S131" s="77" t="n"/>
      <c r="T131" s="77" t="n"/>
      <c r="U131" s="77" t="n"/>
      <c r="V131" s="77" t="n"/>
      <c r="W131" s="77" t="n"/>
      <c r="X131" s="77" t="n"/>
      <c r="Y131" s="77" t="n"/>
      <c r="Z131" s="77" t="n"/>
      <c r="AA131" s="7" t="n"/>
      <c r="AC131" s="17" t="n"/>
      <c r="AD131" s="17" t="n"/>
      <c r="AE131" s="283" t="n"/>
      <c r="AH131" s="283" t="n"/>
      <c r="AK131" s="283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Z131" s="17" t="n"/>
      <c r="BA131" s="17" t="n"/>
      <c r="BB131" s="17" t="n"/>
    </row>
    <row r="132" ht="18" customHeight="1" s="429">
      <c r="A132" s="6" t="n"/>
      <c r="B132" s="16" t="n"/>
      <c r="C132" s="16" t="n"/>
      <c r="D132" s="461" t="n"/>
      <c r="E132" s="447" t="n"/>
      <c r="F132" s="462" t="inlineStr">
        <is>
          <t>[mm]</t>
        </is>
      </c>
      <c r="G132" s="439" t="n"/>
      <c r="H132" s="447" t="n"/>
      <c r="I132" s="462" t="inlineStr">
        <is>
          <t>[deg]</t>
        </is>
      </c>
      <c r="J132" s="439" t="n"/>
      <c r="K132" s="447" t="n"/>
      <c r="L132" s="462" t="inlineStr">
        <is>
          <t>(Ref.Engine)</t>
        </is>
      </c>
      <c r="M132" s="439" t="n"/>
      <c r="N132" s="447" t="n"/>
      <c r="O132" s="16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Z132" s="17" t="n"/>
      <c r="BA132" s="17" t="n"/>
      <c r="BB132" s="17" t="n"/>
    </row>
    <row r="133" ht="18" customHeight="1" s="429">
      <c r="A133" s="6" t="n"/>
      <c r="B133" s="16" t="n"/>
      <c r="C133" s="72">
        <f>C50</f>
        <v/>
      </c>
      <c r="D133" s="463">
        <f>E50</f>
        <v/>
      </c>
      <c r="E133" s="442" t="n"/>
      <c r="F133" s="507">
        <f>IF(D133="NA",0&amp;"",[2]Geometry!Q5)</f>
        <v/>
      </c>
      <c r="G133" s="440" t="n"/>
      <c r="H133" s="442" t="n"/>
      <c r="I133" s="493">
        <f>[2]Geometry!S5</f>
        <v/>
      </c>
      <c r="J133" s="440" t="n"/>
      <c r="K133" s="442" t="n"/>
      <c r="L133" s="508">
        <f>[2]Geometry!U5</f>
        <v/>
      </c>
      <c r="M133" s="440" t="n"/>
      <c r="N133" s="442" t="n"/>
      <c r="O133" s="16" t="n"/>
      <c r="P133" s="77" t="n"/>
      <c r="Q133" s="77" t="n"/>
      <c r="R133" s="77" t="n"/>
      <c r="S133" s="77" t="n"/>
      <c r="T133" s="77" t="n"/>
      <c r="U133" s="77" t="n"/>
      <c r="V133" s="77" t="n"/>
      <c r="W133" s="77" t="n"/>
      <c r="X133" s="77" t="n"/>
      <c r="Y133" s="77" t="n"/>
      <c r="Z133" s="77" t="n"/>
      <c r="AA133" s="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Z133" s="17" t="n"/>
      <c r="BA133" s="17" t="n"/>
      <c r="BB133" s="17" t="n"/>
    </row>
    <row r="134" ht="18" customHeight="1" s="429">
      <c r="A134" s="6" t="n"/>
      <c r="B134" s="16" t="n"/>
      <c r="C134" s="72">
        <f>C51</f>
        <v/>
      </c>
      <c r="D134" s="463">
        <f>E51</f>
        <v/>
      </c>
      <c r="E134" s="442" t="n"/>
      <c r="F134" s="507">
        <f>IF(D134="NA",0&amp;"",[2]Geometry!Q6)</f>
        <v/>
      </c>
      <c r="G134" s="440" t="n"/>
      <c r="H134" s="442" t="n"/>
      <c r="I134" s="492">
        <f>[2]Geometry!S6</f>
        <v/>
      </c>
      <c r="J134" s="440" t="n"/>
      <c r="K134" s="442" t="n"/>
      <c r="L134" s="509">
        <f>[2]Geometry!U6</f>
        <v/>
      </c>
      <c r="M134" s="440" t="n"/>
      <c r="N134" s="442" t="n"/>
      <c r="O134" s="16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Z134" s="17" t="n"/>
      <c r="BA134" s="17" t="n"/>
      <c r="BB134" s="17" t="n"/>
    </row>
    <row r="135" ht="18" customHeight="1" s="429">
      <c r="A135" s="6" t="n"/>
      <c r="B135" s="16" t="n"/>
      <c r="C135" s="72">
        <f>C52</f>
        <v/>
      </c>
      <c r="D135" s="463">
        <f>E52</f>
        <v/>
      </c>
      <c r="E135" s="442" t="n"/>
      <c r="F135" s="507">
        <f>IF(D135="NA",0&amp;"",[2]Geometry!Q7)</f>
        <v/>
      </c>
      <c r="G135" s="440" t="n"/>
      <c r="H135" s="442" t="n"/>
      <c r="I135" s="493">
        <f>[2]Geometry!S7</f>
        <v/>
      </c>
      <c r="J135" s="440" t="n"/>
      <c r="K135" s="442" t="n"/>
      <c r="L135" s="508">
        <f>[2]Geometry!U7</f>
        <v/>
      </c>
      <c r="M135" s="440" t="n"/>
      <c r="N135" s="442" t="n"/>
      <c r="O135" s="16" t="n"/>
      <c r="P135" s="77" t="n"/>
      <c r="Q135" s="77" t="n"/>
      <c r="R135" s="77" t="n"/>
      <c r="S135" s="77" t="n"/>
      <c r="T135" s="77" t="n"/>
      <c r="U135" s="77" t="n"/>
      <c r="V135" s="77" t="n"/>
      <c r="W135" s="77" t="n"/>
      <c r="X135" s="77" t="n"/>
      <c r="Y135" s="77" t="n"/>
      <c r="Z135" s="77" t="n"/>
      <c r="AA135" s="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Z135" s="17" t="n"/>
      <c r="BA135" s="17" t="n"/>
      <c r="BB135" s="17" t="n"/>
    </row>
    <row r="136" ht="18" customHeight="1" s="429">
      <c r="A136" s="6" t="n"/>
      <c r="B136" s="16" t="n"/>
      <c r="C136" s="72">
        <f>C53</f>
        <v/>
      </c>
      <c r="D136" s="463">
        <f>E53</f>
        <v/>
      </c>
      <c r="E136" s="442" t="n"/>
      <c r="F136" s="507">
        <f>IF(D136="NA",0&amp;"",[2]Geometry!Q8)</f>
        <v/>
      </c>
      <c r="G136" s="440" t="n"/>
      <c r="H136" s="442" t="n"/>
      <c r="I136" s="492">
        <f>IF(D136="NA"," ",[2]Geometry!S8)</f>
        <v/>
      </c>
      <c r="J136" s="440" t="n"/>
      <c r="K136" s="442" t="n"/>
      <c r="L136" s="509">
        <f>[2]Geometry!U8</f>
        <v/>
      </c>
      <c r="M136" s="440" t="n"/>
      <c r="N136" s="442" t="n"/>
      <c r="O136" s="16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Z136" s="17" t="n"/>
      <c r="BA136" s="17" t="n"/>
      <c r="BB136" s="17" t="n"/>
    </row>
    <row r="137" ht="18" customHeight="1" s="429">
      <c r="A137" s="6" t="n"/>
      <c r="B137" s="16" t="n"/>
      <c r="C137" s="72">
        <f>C54</f>
        <v/>
      </c>
      <c r="D137" s="463">
        <f>E54</f>
        <v/>
      </c>
      <c r="E137" s="442" t="n"/>
      <c r="F137" s="507">
        <f>IF(D137="NA",0&amp;"",[2]Geometry!Q9)</f>
        <v/>
      </c>
      <c r="G137" s="440" t="n"/>
      <c r="H137" s="442" t="n"/>
      <c r="I137" s="493">
        <f>IF(D137="NA"," ",[2]Geometry!S9)</f>
        <v/>
      </c>
      <c r="J137" s="440" t="n"/>
      <c r="K137" s="442" t="n"/>
      <c r="L137" s="508">
        <f>[2]Geometry!U9</f>
        <v/>
      </c>
      <c r="M137" s="440" t="n"/>
      <c r="N137" s="442" t="n"/>
      <c r="O137" s="16" t="n"/>
      <c r="P137" s="77" t="n"/>
      <c r="Q137" s="77" t="n"/>
      <c r="R137" s="77" t="n"/>
      <c r="S137" s="77" t="n"/>
      <c r="T137" s="77" t="n"/>
      <c r="U137" s="77" t="n"/>
      <c r="V137" s="77" t="n"/>
      <c r="W137" s="77" t="n"/>
      <c r="X137" s="77" t="n"/>
      <c r="Y137" s="77" t="n"/>
      <c r="Z137" s="77" t="n"/>
      <c r="AA137" s="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Z137" s="17" t="n"/>
      <c r="BA137" s="17" t="n"/>
      <c r="BB137" s="17" t="n"/>
    </row>
    <row r="138" ht="18" customHeight="1" s="429">
      <c r="A138" s="6" t="n"/>
      <c r="B138" s="16" t="n"/>
      <c r="C138" s="72">
        <f>C55</f>
        <v/>
      </c>
      <c r="D138" s="463">
        <f>E55</f>
        <v/>
      </c>
      <c r="E138" s="442" t="n"/>
      <c r="F138" s="507">
        <f>IF(D138="NA",0&amp;"",[2]Geometry!Q10)</f>
        <v/>
      </c>
      <c r="G138" s="440" t="n"/>
      <c r="H138" s="442" t="n"/>
      <c r="I138" s="492">
        <f>IF(D138="NA"," ",[2]Geometry!S10)</f>
        <v/>
      </c>
      <c r="J138" s="440" t="n"/>
      <c r="K138" s="442" t="n"/>
      <c r="L138" s="509">
        <f>[2]Geometry!U10</f>
        <v/>
      </c>
      <c r="M138" s="440" t="n"/>
      <c r="N138" s="442" t="n"/>
      <c r="O138" s="16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Z138" s="17" t="n"/>
      <c r="BA138" s="17" t="n"/>
      <c r="BB138" s="17" t="n"/>
    </row>
    <row r="139" ht="18" customHeight="1" s="429">
      <c r="A139" s="6" t="n"/>
      <c r="B139" s="16" t="n"/>
      <c r="C139" s="72">
        <f>C56</f>
        <v/>
      </c>
      <c r="D139" s="463">
        <f>E56</f>
        <v/>
      </c>
      <c r="E139" s="442" t="n"/>
      <c r="F139" s="507">
        <f>IF(D139="NA",0&amp;"",[2]Geometry!Q11)</f>
        <v/>
      </c>
      <c r="G139" s="440" t="n"/>
      <c r="H139" s="442" t="n"/>
      <c r="I139" s="493">
        <f>IF(D139="NA"," ",[2]Geometry!S11)</f>
        <v/>
      </c>
      <c r="J139" s="440" t="n"/>
      <c r="K139" s="442" t="n"/>
      <c r="L139" s="508">
        <f>[2]Geometry!U11</f>
        <v/>
      </c>
      <c r="M139" s="440" t="n"/>
      <c r="N139" s="442" t="n"/>
      <c r="O139" s="16" t="n"/>
      <c r="P139" s="77" t="n"/>
      <c r="Q139" s="77" t="n"/>
      <c r="R139" s="77" t="n"/>
      <c r="S139" s="77" t="n"/>
      <c r="T139" s="77" t="n"/>
      <c r="U139" s="77" t="n"/>
      <c r="V139" s="77" t="n"/>
      <c r="W139" s="77" t="n"/>
      <c r="X139" s="77" t="n"/>
      <c r="Y139" s="77" t="n"/>
      <c r="Z139" s="77" t="n"/>
      <c r="AA139" s="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Z139" s="17" t="n"/>
      <c r="BA139" s="17" t="n"/>
      <c r="BB139" s="17" t="n"/>
    </row>
    <row r="140" ht="18" customHeight="1" s="429">
      <c r="A140" s="6" t="n"/>
      <c r="B140" s="16" t="n"/>
      <c r="C140" s="72">
        <f>C57</f>
        <v/>
      </c>
      <c r="D140" s="463">
        <f>E57</f>
        <v/>
      </c>
      <c r="E140" s="442" t="n"/>
      <c r="F140" s="507">
        <f>IF(D140="NA",0&amp;"",[2]Geometry!Q12)</f>
        <v/>
      </c>
      <c r="G140" s="440" t="n"/>
      <c r="H140" s="442" t="n"/>
      <c r="I140" s="492">
        <f>IF(D140="NA"," ",[2]Geometry!S12)</f>
        <v/>
      </c>
      <c r="J140" s="440" t="n"/>
      <c r="K140" s="442" t="n"/>
      <c r="L140" s="509">
        <f>[2]Geometry!U12</f>
        <v/>
      </c>
      <c r="M140" s="440" t="n"/>
      <c r="N140" s="442" t="n"/>
      <c r="O140" s="16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" t="n"/>
      <c r="AI140" s="78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Z140" s="17" t="n"/>
      <c r="BA140" s="17" t="n"/>
      <c r="BB140" s="17" t="n"/>
    </row>
    <row r="141" ht="18" customHeight="1" s="429">
      <c r="A141" s="6" t="n"/>
      <c r="B141" s="16" t="n"/>
      <c r="C141" s="72">
        <f>C58</f>
        <v/>
      </c>
      <c r="D141" s="463">
        <f>E58</f>
        <v/>
      </c>
      <c r="E141" s="442" t="n"/>
      <c r="F141" s="507">
        <f>IF(D141="NA",0&amp;"",[2]Geometry!Q13)</f>
        <v/>
      </c>
      <c r="G141" s="440" t="n"/>
      <c r="H141" s="442" t="n"/>
      <c r="I141" s="493">
        <f>IF(D141="NA"," ",[2]Geometry!S13)</f>
        <v/>
      </c>
      <c r="J141" s="440" t="n"/>
      <c r="K141" s="442" t="n"/>
      <c r="L141" s="508">
        <f>[2]Geometry!U13</f>
        <v/>
      </c>
      <c r="M141" s="440" t="n"/>
      <c r="N141" s="442" t="n"/>
      <c r="O141" s="1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  <c r="AA141" s="79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Z141" s="17" t="n"/>
      <c r="BA141" s="17" t="n"/>
      <c r="BB141" s="17" t="n"/>
    </row>
    <row r="142" ht="18" customHeight="1" s="429">
      <c r="A142" s="6" t="n"/>
      <c r="B142" s="16" t="n"/>
      <c r="C142" s="72">
        <f>C59</f>
        <v/>
      </c>
      <c r="D142" s="463">
        <f>E59</f>
        <v/>
      </c>
      <c r="E142" s="442" t="n"/>
      <c r="F142" s="507">
        <f>IF(D142="NA",0&amp;"",[2]Geometry!Q14)</f>
        <v/>
      </c>
      <c r="G142" s="440" t="n"/>
      <c r="H142" s="442" t="n"/>
      <c r="I142" s="492">
        <f>IF(D142="NA"," ",[2]Geometry!S14)</f>
        <v/>
      </c>
      <c r="J142" s="440" t="n"/>
      <c r="K142" s="442" t="n"/>
      <c r="L142" s="509">
        <f>[2]Geometry!U14</f>
        <v/>
      </c>
      <c r="M142" s="440" t="n"/>
      <c r="N142" s="442" t="n"/>
      <c r="O142" s="16" t="n"/>
      <c r="P142" s="76" t="inlineStr">
        <is>
          <t xml:space="preserve"> Belt Tension Control(Results)</t>
        </is>
      </c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7" t="n"/>
      <c r="Z142" s="77" t="n"/>
      <c r="AA142" s="7" t="n"/>
      <c r="AC142" s="17" t="n"/>
      <c r="AD142" s="17" t="n"/>
      <c r="AE142" s="278" t="n"/>
      <c r="AH142" s="278" t="n"/>
      <c r="AK142" s="278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Z142" s="17" t="n"/>
      <c r="BA142" s="17" t="n"/>
      <c r="BB142" s="17" t="n"/>
    </row>
    <row r="143" ht="18" customHeight="1" s="429">
      <c r="A143" s="6" t="n"/>
      <c r="B143" s="16" t="n"/>
      <c r="C143" s="72" t="n"/>
      <c r="D143" s="466" t="n"/>
      <c r="E143" s="466" t="n"/>
      <c r="F143" s="503" t="n"/>
      <c r="G143" s="503" t="n"/>
      <c r="H143" s="503" t="n"/>
      <c r="I143" s="503" t="n"/>
      <c r="J143" s="503" t="n"/>
      <c r="K143" s="503" t="n"/>
      <c r="L143" s="510" t="n"/>
      <c r="M143" s="510" t="n"/>
      <c r="N143" s="510" t="n"/>
      <c r="O143" s="16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7" t="n"/>
      <c r="AC143" s="17" t="n"/>
      <c r="AD143" s="17" t="n"/>
      <c r="AE143" s="278" t="n"/>
      <c r="AF143" s="278" t="n"/>
      <c r="AG143" s="278" t="n"/>
      <c r="AH143" s="278" t="n"/>
      <c r="AI143" s="278" t="n"/>
      <c r="AJ143" s="278" t="n"/>
      <c r="AK143" s="278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Z143" s="17" t="n"/>
      <c r="BA143" s="17" t="n"/>
      <c r="BB143" s="17" t="n"/>
    </row>
    <row r="144" ht="18" customHeight="1" s="429">
      <c r="A144" s="6" t="n"/>
      <c r="D144" s="76" t="n"/>
      <c r="E144" s="83" t="n"/>
      <c r="F144" s="511" t="inlineStr">
        <is>
          <t>Design Geometry</t>
        </is>
      </c>
      <c r="G144" s="511" t="n"/>
      <c r="H144" s="512" t="n"/>
      <c r="I144" s="503" t="n"/>
      <c r="J144" s="503" t="n"/>
      <c r="K144" s="503" t="n"/>
      <c r="L144" s="510" t="n"/>
      <c r="M144" s="510" t="n"/>
      <c r="N144" s="510" t="n"/>
      <c r="O144" s="16" t="n"/>
      <c r="P144" s="82" t="n"/>
      <c r="Q144" s="82" t="n"/>
      <c r="R144" s="82" t="n"/>
      <c r="S144" s="82" t="n"/>
      <c r="T144" s="82" t="n"/>
      <c r="U144" s="82" t="n"/>
      <c r="V144" s="82" t="n"/>
      <c r="W144" s="82" t="n"/>
      <c r="X144" s="82" t="n"/>
      <c r="Y144" s="82" t="n"/>
      <c r="Z144" s="82" t="n"/>
      <c r="AA144" s="7" t="n"/>
      <c r="AC144" s="17" t="n"/>
      <c r="AD144" s="17" t="n"/>
      <c r="AE144" s="278" t="n"/>
      <c r="AF144" s="278" t="n"/>
      <c r="AG144" s="278" t="n"/>
      <c r="AH144" s="278" t="n"/>
      <c r="AI144" s="278" t="n"/>
      <c r="AJ144" s="278" t="n"/>
      <c r="AK144" s="278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Z144" s="17" t="n"/>
      <c r="BA144" s="17" t="n"/>
      <c r="BB144" s="17" t="n"/>
    </row>
    <row r="145" ht="18" customHeight="1" s="429">
      <c r="A145" s="6" t="n"/>
      <c r="B145" s="16" t="n"/>
      <c r="C145" s="86" t="n"/>
      <c r="D145" s="513" t="inlineStr">
        <is>
          <t xml:space="preserve">
Design Geometry and Clearance: 
  1. Span lengths (Min) to be &gt; 75 mm( &gt; 75 mm limit applies for span length fromflat pulley to grooved pulley);
 2. Span lengths (Max) to be &lt; 300 mm.</t>
        </is>
      </c>
      <c r="E145" s="459" t="n"/>
      <c r="F145" s="459" t="n"/>
      <c r="G145" s="459" t="n"/>
      <c r="H145" s="459" t="n"/>
      <c r="I145" s="459" t="n"/>
      <c r="J145" s="459" t="n"/>
      <c r="K145" s="459" t="n"/>
      <c r="L145" s="459" t="n"/>
      <c r="M145" s="459" t="n"/>
      <c r="N145" s="458" t="n"/>
      <c r="O145" s="16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7" t="n"/>
      <c r="AC145" s="17" t="n"/>
      <c r="AD145" s="17" t="n"/>
      <c r="AE145" s="278" t="n"/>
      <c r="AF145" s="278" t="n"/>
      <c r="AG145" s="278" t="n"/>
      <c r="AH145" s="278" t="n"/>
      <c r="AI145" s="278" t="n"/>
      <c r="AJ145" s="278" t="n"/>
      <c r="AK145" s="278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Z145" s="17" t="n"/>
      <c r="BA145" s="17" t="n"/>
      <c r="BB145" s="17" t="n"/>
    </row>
    <row r="146" ht="18" customHeight="1" s="429">
      <c r="A146" s="6" t="n"/>
      <c r="B146" s="16" t="n"/>
      <c r="C146" s="86" t="n"/>
      <c r="D146" s="468" t="n"/>
      <c r="N146" s="469" t="n"/>
      <c r="O146" s="16" t="n"/>
      <c r="P146" s="82" t="n"/>
      <c r="Q146" s="82" t="n"/>
      <c r="R146" s="82" t="n"/>
      <c r="S146" s="82" t="n"/>
      <c r="T146" s="82" t="n"/>
      <c r="U146" s="82" t="n"/>
      <c r="V146" s="82" t="n"/>
      <c r="W146" s="82" t="n"/>
      <c r="X146" s="82" t="n"/>
      <c r="Y146" s="82" t="n"/>
      <c r="Z146" s="82" t="n"/>
      <c r="AA146" s="7" t="n"/>
      <c r="AC146" s="17" t="n"/>
      <c r="AD146" s="17" t="n"/>
      <c r="AE146" s="278" t="n"/>
      <c r="AF146" s="278" t="n"/>
      <c r="AG146" s="278" t="n"/>
      <c r="AH146" s="278" t="n"/>
      <c r="AI146" s="278" t="n"/>
      <c r="AJ146" s="278" t="n"/>
      <c r="AK146" s="278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Z146" s="17" t="n"/>
      <c r="BA146" s="17" t="n"/>
      <c r="BB146" s="17" t="n"/>
    </row>
    <row r="147" ht="18" customHeight="1" s="429">
      <c r="A147" s="6" t="n"/>
      <c r="B147" s="16" t="n"/>
      <c r="C147" s="86" t="n"/>
      <c r="D147" s="468" t="n"/>
      <c r="N147" s="469" t="n"/>
      <c r="O147" s="16" t="n"/>
      <c r="P147" s="82" t="n"/>
      <c r="Q147" s="82" t="n"/>
      <c r="R147" s="82" t="n"/>
      <c r="S147" s="82" t="n"/>
      <c r="T147" s="82" t="n"/>
      <c r="U147" s="82" t="n"/>
      <c r="V147" s="82" t="n"/>
      <c r="W147" s="82" t="n"/>
      <c r="X147" s="82" t="n"/>
      <c r="Y147" s="82" t="n"/>
      <c r="Z147" s="82" t="n"/>
      <c r="AA147" s="7" t="n"/>
      <c r="AC147" s="17" t="n"/>
      <c r="AD147" s="17" t="n"/>
      <c r="AE147" s="278" t="n"/>
      <c r="AF147" s="278" t="n"/>
      <c r="AG147" s="278" t="n"/>
      <c r="AH147" s="278" t="n"/>
      <c r="AI147" s="278" t="n"/>
      <c r="AJ147" s="278" t="n"/>
      <c r="AK147" s="278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Z147" s="17" t="n"/>
      <c r="BA147" s="17" t="n"/>
      <c r="BB147" s="17" t="n"/>
    </row>
    <row r="148" ht="18" customHeight="1" s="429">
      <c r="A148" s="6" t="n"/>
      <c r="B148" s="16" t="n"/>
      <c r="C148" s="86" t="n"/>
      <c r="D148" s="468" t="n"/>
      <c r="N148" s="469" t="n"/>
      <c r="O148" s="16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7" t="n"/>
      <c r="AC148" s="17" t="n"/>
      <c r="AD148" s="17" t="n"/>
      <c r="AE148" s="278" t="n"/>
      <c r="AF148" s="278" t="n"/>
      <c r="AG148" s="278" t="n"/>
      <c r="AH148" s="278" t="n"/>
      <c r="AI148" s="278" t="n"/>
      <c r="AJ148" s="278" t="n"/>
      <c r="AK148" s="278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Z148" s="17" t="n"/>
      <c r="BA148" s="17" t="n"/>
      <c r="BB148" s="17" t="n"/>
    </row>
    <row r="149" ht="18" customHeight="1" s="429">
      <c r="A149" s="6" t="n"/>
      <c r="B149" s="16" t="n"/>
      <c r="C149" s="86" t="n"/>
      <c r="D149" s="468" t="n"/>
      <c r="N149" s="469" t="n"/>
      <c r="O149" s="16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7" t="n"/>
      <c r="AC149" s="17" t="n"/>
      <c r="AD149" s="17" t="n"/>
      <c r="AE149" s="278" t="n"/>
      <c r="AF149" s="278" t="n"/>
      <c r="AG149" s="278" t="n"/>
      <c r="AH149" s="278" t="n"/>
      <c r="AI149" s="278" t="n"/>
      <c r="AJ149" s="278" t="n"/>
      <c r="AK149" s="278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Z149" s="17" t="n"/>
      <c r="BA149" s="17" t="n"/>
      <c r="BB149" s="17" t="n"/>
    </row>
    <row r="150" ht="18" customHeight="1" s="429">
      <c r="A150" s="6" t="n"/>
      <c r="B150" s="16" t="n"/>
      <c r="C150" s="86" t="n"/>
      <c r="D150" s="468" t="n"/>
      <c r="N150" s="469" t="n"/>
      <c r="O150" s="16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7" t="n"/>
      <c r="AC150" s="17" t="n"/>
      <c r="AD150" s="17" t="n"/>
      <c r="AE150" s="278" t="n"/>
      <c r="AF150" s="278" t="n"/>
      <c r="AG150" s="278" t="n"/>
      <c r="AH150" s="278" t="n"/>
      <c r="AI150" s="278" t="n"/>
      <c r="AJ150" s="278" t="n"/>
      <c r="AK150" s="278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Z150" s="17" t="n"/>
      <c r="BA150" s="17" t="n"/>
      <c r="BB150" s="17" t="n"/>
    </row>
    <row r="151" ht="18" customHeight="1" s="429">
      <c r="A151" s="6" t="n"/>
      <c r="B151" s="16" t="n"/>
      <c r="C151" s="86" t="n"/>
      <c r="D151" s="468" t="n"/>
      <c r="N151" s="469" t="n"/>
      <c r="O151" s="16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7" t="n"/>
      <c r="AC151" s="17" t="n"/>
      <c r="AD151" s="17" t="n"/>
      <c r="AE151" s="278" t="n"/>
      <c r="AF151" s="278" t="n"/>
      <c r="AG151" s="278" t="n"/>
      <c r="AH151" s="278" t="n"/>
      <c r="AI151" s="278" t="n"/>
      <c r="AJ151" s="278" t="n"/>
      <c r="AK151" s="278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Z151" s="17" t="n"/>
      <c r="BA151" s="17" t="n"/>
      <c r="BB151" s="17" t="n"/>
    </row>
    <row r="152" ht="18" customHeight="1" s="429">
      <c r="A152" s="6" t="n"/>
      <c r="B152" s="16" t="n"/>
      <c r="C152" s="86" t="n"/>
      <c r="D152" s="468" t="n"/>
      <c r="N152" s="469" t="n"/>
      <c r="O152" s="16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7" t="n"/>
      <c r="AC152" s="17" t="n"/>
      <c r="AD152" s="17" t="n"/>
      <c r="AE152" s="278" t="n"/>
      <c r="AF152" s="278" t="n"/>
      <c r="AG152" s="278" t="n"/>
      <c r="AH152" s="278" t="n"/>
      <c r="AI152" s="278" t="n"/>
      <c r="AJ152" s="278" t="n"/>
      <c r="AK152" s="278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Z152" s="17" t="n"/>
      <c r="BA152" s="17" t="n"/>
      <c r="BB152" s="17" t="n"/>
    </row>
    <row r="153" ht="18" customHeight="1" s="429">
      <c r="A153" s="6" t="n"/>
      <c r="B153" s="16" t="n"/>
      <c r="C153" s="86" t="n"/>
      <c r="D153" s="461" t="n"/>
      <c r="E153" s="439" t="n"/>
      <c r="F153" s="439" t="n"/>
      <c r="G153" s="439" t="n"/>
      <c r="H153" s="439" t="n"/>
      <c r="I153" s="439" t="n"/>
      <c r="J153" s="439" t="n"/>
      <c r="K153" s="439" t="n"/>
      <c r="L153" s="439" t="n"/>
      <c r="M153" s="439" t="n"/>
      <c r="N153" s="447" t="n"/>
      <c r="O153" s="16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7" t="n"/>
      <c r="AC153" s="17" t="n"/>
      <c r="AD153" s="17" t="n"/>
      <c r="AE153" s="278" t="n"/>
      <c r="AF153" s="278" t="n"/>
      <c r="AG153" s="278" t="n"/>
      <c r="AH153" s="278" t="n"/>
      <c r="AI153" s="278" t="n"/>
      <c r="AJ153" s="278" t="n"/>
      <c r="AK153" s="278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Z153" s="17" t="n"/>
      <c r="BA153" s="17" t="n"/>
      <c r="BB153" s="17" t="n"/>
    </row>
    <row r="154" ht="9" customHeight="1" s="429" thickBot="1">
      <c r="A154" s="42" t="n"/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  <c r="AA154" s="46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Z154" s="17" t="n"/>
      <c r="BA154" s="17" t="n"/>
      <c r="BB154" s="17" t="n"/>
    </row>
    <row r="155" ht="37.2" customHeight="1" s="429">
      <c r="A155" s="1" t="n"/>
      <c r="B155" s="47" t="n"/>
      <c r="C155" s="87" t="inlineStr">
        <is>
          <t>Geometry Analysis (Results）</t>
        </is>
      </c>
      <c r="D155" s="87" t="n"/>
      <c r="E155" s="87" t="n"/>
      <c r="F155" s="87" t="n"/>
      <c r="G155" s="87" t="n"/>
      <c r="H155" s="87" t="n"/>
      <c r="I155" s="87" t="n"/>
      <c r="J155" s="87" t="n"/>
      <c r="K155" s="87" t="n"/>
      <c r="L155" s="87" t="n"/>
      <c r="M155" s="87" t="n"/>
      <c r="N155" s="87" t="n"/>
      <c r="O155" s="47" t="n"/>
      <c r="P155" s="47" t="n"/>
      <c r="Q155" s="261" t="n"/>
      <c r="R155" s="431" t="n"/>
      <c r="S155" s="431" t="n"/>
      <c r="T155" s="431" t="n"/>
      <c r="U155" s="431" t="n"/>
      <c r="V155" s="431" t="n"/>
      <c r="W155" s="431" t="n"/>
      <c r="X155" s="431" t="n"/>
      <c r="Y155" s="47" t="n"/>
      <c r="Z155" s="47" t="n"/>
      <c r="AA155" s="2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Z155" s="17" t="n"/>
      <c r="BA155" s="17" t="n"/>
      <c r="BB155" s="17" t="n"/>
    </row>
    <row r="156" ht="18.75" customHeight="1" s="429">
      <c r="A156" s="6" t="n"/>
      <c r="B156" s="16" t="n"/>
      <c r="C156" s="76" t="inlineStr">
        <is>
          <t>Permissible Grooved Pulley Axial offset Allowance</t>
        </is>
      </c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Z156" s="17" t="n"/>
      <c r="BA156" s="17" t="n"/>
      <c r="BB156" s="17" t="n"/>
    </row>
    <row r="157" ht="30" customHeight="1" s="429">
      <c r="A157" s="6" t="n"/>
      <c r="B157" s="16" t="n"/>
      <c r="C157" s="262" t="inlineStr">
        <is>
          <t>Adjusted Grooved Pulley</t>
        </is>
      </c>
      <c r="D157" s="440" t="n"/>
      <c r="E157" s="440" t="n"/>
      <c r="F157" s="440" t="n"/>
      <c r="G157" s="442" t="n"/>
      <c r="H157" s="262" t="inlineStr">
        <is>
          <t>Flat Puleey Angular Misalignment</t>
        </is>
      </c>
      <c r="I157" s="440" t="n"/>
      <c r="J157" s="440" t="n"/>
      <c r="K157" s="440" t="n"/>
      <c r="L157" s="442" t="n"/>
      <c r="M157" s="262" t="inlineStr">
        <is>
          <t>Perpendicularity</t>
        </is>
      </c>
      <c r="N157" s="442" t="n"/>
      <c r="O157" s="262" t="inlineStr">
        <is>
          <t>Datum Grooved Pulley</t>
        </is>
      </c>
      <c r="P157" s="440" t="n"/>
      <c r="Q157" s="440" t="n"/>
      <c r="R157" s="442" t="n"/>
      <c r="S157" s="514" t="inlineStr">
        <is>
          <t>permissible grooved pulley axial offset allowance</t>
        </is>
      </c>
      <c r="T157" s="440" t="n"/>
      <c r="U157" s="440" t="n"/>
      <c r="V157" s="440" t="n"/>
      <c r="W157" s="440" t="n"/>
      <c r="X157" s="442" t="n"/>
      <c r="Y157" s="16" t="n"/>
      <c r="Z157" s="16" t="n"/>
      <c r="AA157" s="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Z157" s="17" t="n"/>
      <c r="BA157" s="17" t="n"/>
      <c r="BB157" s="17" t="n"/>
    </row>
    <row r="158" ht="15.75" customHeight="1" s="429">
      <c r="A158" s="6" t="n"/>
      <c r="B158" s="16" t="n"/>
      <c r="C158" s="248">
        <f>IF([2]Input!B5="NA","",[2]Input!B5)</f>
        <v/>
      </c>
      <c r="D158" s="440" t="n"/>
      <c r="E158" s="440" t="n"/>
      <c r="F158" s="440" t="n"/>
      <c r="G158" s="442" t="n"/>
      <c r="H158" s="248">
        <f t="array" ref="H158">_xlfn.IFNA(IF(INDEX([2]Input!H4:H13,MATCH(C158,[2]Input!B4:B13,0)+1)="Grooved","/",INDEX([2]Input!B4:B13, MATCH(C158, [2]Input!B4:B13, 0)+1)),"")</f>
        <v/>
      </c>
      <c r="I158" s="440" t="n"/>
      <c r="J158" s="440" t="n"/>
      <c r="K158" s="440" t="n"/>
      <c r="L158" s="442" t="n"/>
      <c r="M158" s="249" t="inlineStr">
        <is>
          <t>/</t>
        </is>
      </c>
      <c r="N158" s="515" t="n"/>
      <c r="O158" s="248">
        <f t="array" ref="O158">_xlfn.IFNA(IF(H158="/",IF(INDEX([2]Input!$B$5:$B$14, MATCH(C158,[2]Input!$B$5:$B$14, 0)+1)="NA",[2]Input!$B$5,INDEX([2]Input!$B$5:$B$14, MATCH(C158,[2]Input!$B$5:$B$14, 0)+1)),IF(INDEX([2]Input!$B$5:$B$14, MATCH(H158,[2]Input!$B$5:$B$14, 0)+1)="NA",[2]Input!$B$5,INDEX([2]Input!$B$5:$B$14, MATCH(H158,[2]Input!$B$5:$B$14, 0)+1))),"")</f>
        <v/>
      </c>
      <c r="P158" s="440" t="n"/>
      <c r="Q158" s="440" t="n"/>
      <c r="R158" s="442" t="n"/>
      <c r="S158" s="516" t="n">
        <v>-3.85</v>
      </c>
      <c r="T158" s="517" t="n"/>
      <c r="U158" s="515" t="n"/>
      <c r="V158" s="516" t="n">
        <v>3.85</v>
      </c>
      <c r="W158" s="517" t="n"/>
      <c r="X158" s="515" t="n"/>
      <c r="Y158" s="16" t="n"/>
      <c r="Z158" s="16" t="n"/>
      <c r="AA158" s="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Z158" s="17" t="n"/>
      <c r="BA158" s="17" t="n"/>
      <c r="BB158" s="17" t="n"/>
    </row>
    <row r="159">
      <c r="A159" s="6" t="n"/>
      <c r="B159" s="16" t="n"/>
      <c r="C159" s="248">
        <f>IF(OR(O158=$C$158,O158=""),"",INDEX([2]Input!$B$5:$B$14, MATCH(O158,[2]Input!$B$5:$B$14, 0)))</f>
        <v/>
      </c>
      <c r="D159" s="440" t="n"/>
      <c r="E159" s="440" t="n"/>
      <c r="F159" s="440" t="n"/>
      <c r="G159" s="442" t="n"/>
      <c r="H159" s="248">
        <f t="array" ref="H159">_xlfn.IFNA(IF(INDEX([2]Input!H5:H14,MATCH(C159,[2]Input!B5:B14,0)+1)="Grooved","/",INDEX([2]Input!B5:B14, MATCH(C159, [2]Input!B5:B14, 0)+1)),"")</f>
        <v/>
      </c>
      <c r="I159" s="440" t="n"/>
      <c r="J159" s="440" t="n"/>
      <c r="K159" s="440" t="n"/>
      <c r="L159" s="442" t="n"/>
      <c r="M159" s="249" t="inlineStr">
        <is>
          <t>/</t>
        </is>
      </c>
      <c r="N159" s="515" t="n"/>
      <c r="O159" s="248">
        <f t="array" ref="O159">_xlfn.IFNA(IF(H159="/",IF(INDEX([2]Input!$B$5:$B$14, MATCH(C159,[2]Input!$B$5:$B$14, 0)+1)="NA",[2]Input!$B$5,INDEX([2]Input!$B$5:$B$14, MATCH(C159,[2]Input!$B$5:$B$14, 0)+1)),IF(INDEX([2]Input!$B$5:$B$14, MATCH(H159,[2]Input!$B$5:$B$14, 0)+1)="NA",[2]Input!$B$5,INDEX([2]Input!$B$5:$B$14, MATCH(H159,[2]Input!$B$5:$B$14, 0)+1))),"")</f>
        <v/>
      </c>
      <c r="P159" s="440" t="n"/>
      <c r="Q159" s="440" t="n"/>
      <c r="R159" s="442" t="n"/>
      <c r="S159" s="516" t="n">
        <v>-2.94</v>
      </c>
      <c r="T159" s="517" t="n"/>
      <c r="U159" s="515" t="n"/>
      <c r="V159" s="516" t="n">
        <v>2.94</v>
      </c>
      <c r="W159" s="517" t="n"/>
      <c r="X159" s="515" t="n"/>
      <c r="Y159" s="16" t="n"/>
      <c r="Z159" s="16" t="n"/>
      <c r="AA159" s="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Z159" s="17" t="n"/>
      <c r="BA159" s="17" t="n"/>
      <c r="BB159" s="17" t="n"/>
    </row>
    <row r="160">
      <c r="A160" s="6" t="n"/>
      <c r="B160" s="16" t="n"/>
      <c r="C160" s="248">
        <f>IF(OR(O159=$C$158,O159=""),"",INDEX([2]Input!$B$5:$B$14, MATCH(O159,[2]Input!$B$5:$B$14, 0)))</f>
        <v/>
      </c>
      <c r="D160" s="440" t="n"/>
      <c r="E160" s="440" t="n"/>
      <c r="F160" s="440" t="n"/>
      <c r="G160" s="442" t="n"/>
      <c r="H160" s="248">
        <f t="array" ref="H160">_xlfn.IFNA(IF(INDEX([2]Input!H6:H15,MATCH(C160,[2]Input!B6:B15,0)+1)="Grooved","/",INDEX([2]Input!B6:B15, MATCH(C160, [2]Input!B6:B15, 0)+1)),"")</f>
        <v/>
      </c>
      <c r="I160" s="440" t="n"/>
      <c r="J160" s="440" t="n"/>
      <c r="K160" s="440" t="n"/>
      <c r="L160" s="442" t="n"/>
      <c r="M160" s="249" t="n">
        <v>0.3</v>
      </c>
      <c r="N160" s="515" t="n"/>
      <c r="O160" s="248">
        <f t="array" ref="O160">_xlfn.IFNA(IF(H160="/",IF(INDEX([2]Input!$B$5:$B$14, MATCH(C160,[2]Input!$B$5:$B$14, 0)+1)="NA",[2]Input!$B$5,INDEX([2]Input!$B$5:$B$14, MATCH(C160,[2]Input!$B$5:$B$14, 0)+1)),IF(INDEX([2]Input!$B$5:$B$14, MATCH(H160,[2]Input!$B$5:$B$14, 0)+1)="NA",[2]Input!$B$5,INDEX([2]Input!$B$5:$B$14, MATCH(H160,[2]Input!$B$5:$B$14, 0)+1))),"")</f>
        <v/>
      </c>
      <c r="P160" s="440" t="n"/>
      <c r="Q160" s="440" t="n"/>
      <c r="R160" s="442" t="n"/>
      <c r="S160" s="516" t="n">
        <v>-0.89</v>
      </c>
      <c r="T160" s="517" t="n"/>
      <c r="U160" s="515" t="n"/>
      <c r="V160" s="516" t="n">
        <v>1.38</v>
      </c>
      <c r="W160" s="517" t="n"/>
      <c r="X160" s="515" t="n"/>
      <c r="Y160" s="16" t="n"/>
      <c r="Z160" s="16" t="n"/>
      <c r="AA160" s="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Z160" s="17" t="n"/>
      <c r="BA160" s="17" t="n"/>
      <c r="BB160" s="17" t="n"/>
    </row>
    <row r="161">
      <c r="A161" s="6" t="n"/>
      <c r="B161" s="16" t="n"/>
      <c r="C161" s="248">
        <f>IF(OR(O160=$C$158,O160=""),"",INDEX([2]Input!$B$5:$B$14, MATCH(O160,[2]Input!$B$5:$B$14, 0)))</f>
        <v/>
      </c>
      <c r="D161" s="440" t="n"/>
      <c r="E161" s="440" t="n"/>
      <c r="F161" s="440" t="n"/>
      <c r="G161" s="442" t="n"/>
      <c r="H161" s="248">
        <f t="array" ref="H161">_xlfn.IFNA(IF(INDEX([2]Input!H7:H16,MATCH(C161,[2]Input!B7:B16,0)+1)="Grooved","/",INDEX([2]Input!B7:B16, MATCH(C161, [2]Input!B7:B16, 0)+1)),"")</f>
        <v/>
      </c>
      <c r="I161" s="440" t="n"/>
      <c r="J161" s="440" t="n"/>
      <c r="K161" s="440" t="n"/>
      <c r="L161" s="442" t="n"/>
      <c r="M161" s="249" t="n"/>
      <c r="N161" s="515" t="n"/>
      <c r="O161" s="248">
        <f t="array" ref="O161">_xlfn.IFNA(IF(H161="/",IF(INDEX([2]Input!$B$5:$B$14, MATCH(C161,[2]Input!$B$5:$B$14, 0)+1)="NA",[2]Input!$B$5,INDEX([2]Input!$B$5:$B$14, MATCH(C161,[2]Input!$B$5:$B$14, 0)+1)),IF(INDEX([2]Input!$B$5:$B$14, MATCH(H161,[2]Input!$B$5:$B$14, 0)+1)="NA",[2]Input!$B$5,INDEX([2]Input!$B$5:$B$14, MATCH(H161,[2]Input!$B$5:$B$14, 0)+1))),"")</f>
        <v/>
      </c>
      <c r="P161" s="440" t="n"/>
      <c r="Q161" s="440" t="n"/>
      <c r="R161" s="442" t="n"/>
      <c r="S161" s="516" t="n"/>
      <c r="T161" s="517" t="n"/>
      <c r="U161" s="515" t="n"/>
      <c r="V161" s="516" t="n"/>
      <c r="W161" s="517" t="n"/>
      <c r="X161" s="515" t="n"/>
      <c r="Y161" s="16" t="n"/>
      <c r="Z161" s="16" t="n"/>
      <c r="AA161" s="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Z161" s="17" t="n"/>
      <c r="BA161" s="17" t="n"/>
      <c r="BB161" s="17" t="n"/>
    </row>
    <row r="162">
      <c r="A162" s="6" t="n"/>
      <c r="B162" s="16" t="n"/>
      <c r="C162" s="248">
        <f>IF(OR(O161=$C$158,O161=""),"",INDEX([2]Input!$B$5:$B$14, MATCH(O161,[2]Input!$B$5:$B$14, 0)))</f>
        <v/>
      </c>
      <c r="D162" s="440" t="n"/>
      <c r="E162" s="440" t="n"/>
      <c r="F162" s="440" t="n"/>
      <c r="G162" s="442" t="n"/>
      <c r="H162" s="248">
        <f t="array" ref="H162">_xlfn.IFNA(IF(INDEX([2]Input!H8:H17,MATCH(C162,[2]Input!B8:B17,0)+1)="Grooved","/",INDEX([2]Input!B8:B17, MATCH(C162, [2]Input!B8:B17, 0)+1)),"")</f>
        <v/>
      </c>
      <c r="I162" s="440" t="n"/>
      <c r="J162" s="440" t="n"/>
      <c r="K162" s="440" t="n"/>
      <c r="L162" s="442" t="n"/>
      <c r="M162" s="249" t="n"/>
      <c r="N162" s="515" t="n"/>
      <c r="O162" s="248">
        <f t="array" ref="O162">_xlfn.IFNA(IF(H162="/",IF(INDEX([2]Input!$B$5:$B$14, MATCH(C162,[2]Input!$B$5:$B$14, 0)+1)="NA",[2]Input!$B$5,INDEX([2]Input!$B$5:$B$14, MATCH(C162,[2]Input!$B$5:$B$14, 0)+1)),IF(INDEX([2]Input!$B$5:$B$14, MATCH(H162,[2]Input!$B$5:$B$14, 0)+1)="NA",[2]Input!$B$5,INDEX([2]Input!$B$5:$B$14, MATCH(H162,[2]Input!$B$5:$B$14, 0)+1))),"")</f>
        <v/>
      </c>
      <c r="P162" s="440" t="n"/>
      <c r="Q162" s="440" t="n"/>
      <c r="R162" s="442" t="n"/>
      <c r="S162" s="516" t="n"/>
      <c r="T162" s="517" t="n"/>
      <c r="U162" s="515" t="n"/>
      <c r="V162" s="516" t="n"/>
      <c r="W162" s="517" t="n"/>
      <c r="X162" s="515" t="n"/>
      <c r="Y162" s="16" t="n"/>
      <c r="Z162" s="16" t="n"/>
      <c r="AA162" s="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Z162" s="17" t="n"/>
      <c r="BA162" s="17" t="n"/>
      <c r="BB162" s="17" t="n"/>
    </row>
    <row r="163">
      <c r="A163" s="6" t="n"/>
      <c r="B163" s="16" t="n"/>
      <c r="C163" s="248">
        <f>IF(OR(O162=$C$158,O162=""),"",INDEX([2]Input!$B$5:$B$14, MATCH(O162,[2]Input!$B$5:$B$14, 0)))</f>
        <v/>
      </c>
      <c r="D163" s="440" t="n"/>
      <c r="E163" s="440" t="n"/>
      <c r="F163" s="440" t="n"/>
      <c r="G163" s="442" t="n"/>
      <c r="H163" s="248">
        <f t="array" ref="H163">_xlfn.IFNA(IF(INDEX([2]Input!H9:H18,MATCH(C163,[2]Input!B9:B18,0)+1)="Grooved","/",INDEX([2]Input!B9:B18, MATCH(C163, [2]Input!B9:B18, 0)+1)),"")</f>
        <v/>
      </c>
      <c r="I163" s="440" t="n"/>
      <c r="J163" s="440" t="n"/>
      <c r="K163" s="440" t="n"/>
      <c r="L163" s="442" t="n"/>
      <c r="M163" s="249" t="n"/>
      <c r="N163" s="515" t="n"/>
      <c r="O163" s="248">
        <f t="array" ref="O163">_xlfn.IFNA(IF(H163="/",IF(INDEX([2]Input!$B$5:$B$14, MATCH(C163,[2]Input!$B$5:$B$14, 0)+1)="NA",[2]Input!$B$5,INDEX([2]Input!$B$5:$B$14, MATCH(C163,[2]Input!$B$5:$B$14, 0)+1)),IF(INDEX([2]Input!$B$5:$B$14, MATCH(H163,[2]Input!$B$5:$B$14, 0)+1)="NA",[2]Input!$B$5,INDEX([2]Input!$B$5:$B$14, MATCH(H163,[2]Input!$B$5:$B$14, 0)+1))),"")</f>
        <v/>
      </c>
      <c r="P163" s="440" t="n"/>
      <c r="Q163" s="440" t="n"/>
      <c r="R163" s="442" t="n"/>
      <c r="S163" s="516" t="n"/>
      <c r="T163" s="517" t="n"/>
      <c r="U163" s="515" t="n"/>
      <c r="V163" s="516" t="n"/>
      <c r="W163" s="517" t="n"/>
      <c r="X163" s="515" t="n"/>
      <c r="Y163" s="16" t="n"/>
      <c r="Z163" s="16" t="n"/>
      <c r="AA163" s="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Z163" s="17" t="n"/>
      <c r="BA163" s="17" t="n"/>
      <c r="BB163" s="17" t="n"/>
    </row>
    <row r="164" ht="18.75" customHeight="1" s="429">
      <c r="A164" s="6" t="n"/>
      <c r="B164" s="16" t="n"/>
      <c r="C164" s="88" t="inlineStr">
        <is>
          <t>Note:</t>
        </is>
      </c>
      <c r="D164" s="16" t="n"/>
      <c r="E164" s="88" t="inlineStr">
        <is>
          <t>For</t>
        </is>
      </c>
      <c r="F164" s="518">
        <f>[2]Input!O26</f>
        <v/>
      </c>
      <c r="G164" s="88" t="inlineStr">
        <is>
          <t>[deg] Belt Entry Angle</t>
        </is>
      </c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Z164" s="17" t="n"/>
      <c r="BA164" s="17" t="n"/>
      <c r="BB164" s="17" t="n"/>
    </row>
    <row r="165" ht="18.75" customHeight="1" s="429" thickBot="1">
      <c r="A165" s="6" t="n"/>
      <c r="B165" s="43" t="n"/>
      <c r="C165" s="43" t="n"/>
      <c r="D165" s="43" t="n"/>
      <c r="E165" s="90" t="inlineStr">
        <is>
          <t>Approaching the accessory installation surface of the engine is marked as "-"</t>
        </is>
      </c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  <c r="AA165" s="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Z165" s="17" t="n"/>
      <c r="BA165" s="17" t="n"/>
      <c r="BB165" s="17" t="n"/>
    </row>
    <row r="166" ht="6.75" customHeight="1" s="429">
      <c r="A166" s="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Z166" s="17" t="n"/>
      <c r="BA166" s="17" t="n"/>
      <c r="BB166" s="17" t="n"/>
    </row>
    <row r="167" ht="11.25" customHeight="1" s="429">
      <c r="A167" s="6" t="n"/>
      <c r="B167" s="16" t="n"/>
      <c r="C167" s="164" t="inlineStr">
        <is>
          <t>Dynamic Analysis(Input)</t>
        </is>
      </c>
      <c r="W167" s="16" t="n"/>
      <c r="X167" s="16" t="n"/>
      <c r="Y167" s="16" t="n"/>
      <c r="Z167" s="16" t="n"/>
      <c r="AA167" s="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Z167" s="17" t="n"/>
      <c r="BA167" s="17" t="n"/>
      <c r="BB167" s="17" t="n"/>
    </row>
    <row r="168" ht="12" customHeight="1" s="429">
      <c r="A168" s="6" t="n"/>
      <c r="B168" s="16" t="n"/>
      <c r="W168" s="16" t="n"/>
      <c r="X168" s="208" t="n"/>
      <c r="Z168" s="29" t="n"/>
      <c r="AA168" s="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Z168" s="17" t="n"/>
      <c r="BA168" s="17" t="n"/>
      <c r="BB168" s="17" t="n"/>
    </row>
    <row r="169" ht="4.5" customHeight="1" s="429">
      <c r="A169" s="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Z169" s="17" t="n"/>
      <c r="BA169" s="17" t="n"/>
      <c r="BB169" s="17" t="n"/>
    </row>
    <row r="170" ht="12" customHeight="1" s="429">
      <c r="A170" s="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Z170" s="17" t="n"/>
      <c r="BA170" s="17" t="n"/>
      <c r="BB170" s="17" t="n"/>
    </row>
    <row r="171" ht="20.25" customHeight="1" s="429">
      <c r="A171" s="6" t="n"/>
      <c r="B171" s="16" t="n"/>
      <c r="C171" s="76" t="inlineStr">
        <is>
          <t xml:space="preserve"> Duty Cycle Rating and Accessory Loads [kw] for B10(Input)</t>
        </is>
      </c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16" t="n"/>
      <c r="AA171" s="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Z171" s="17" t="n"/>
      <c r="BA171" s="17" t="n"/>
      <c r="BB171" s="17" t="n"/>
    </row>
    <row r="172" ht="6.75" customHeight="1" s="429">
      <c r="A172" s="6" t="n"/>
      <c r="B172" s="16" t="n"/>
      <c r="C172" s="165" t="n"/>
      <c r="D172" s="165" t="n"/>
      <c r="E172" s="165" t="n"/>
      <c r="F172" s="165" t="n"/>
      <c r="G172" s="165" t="n"/>
      <c r="H172" s="165" t="n"/>
      <c r="I172" s="165" t="n"/>
      <c r="J172" s="165" t="n"/>
      <c r="K172" s="165" t="n"/>
      <c r="L172" s="165" t="n"/>
      <c r="M172" s="165" t="n"/>
      <c r="N172" s="165" t="n"/>
      <c r="O172" s="165" t="n"/>
      <c r="P172" s="165" t="n"/>
      <c r="Q172" s="165" t="n"/>
      <c r="R172" s="482" t="n"/>
      <c r="S172" s="519" t="n"/>
      <c r="T172" s="519" t="n"/>
      <c r="U172" s="62" t="n"/>
      <c r="V172" s="62" t="n"/>
      <c r="W172" s="62" t="n"/>
      <c r="X172" s="62" t="n"/>
      <c r="Y172" s="62" t="n"/>
      <c r="Z172" s="16" t="n"/>
      <c r="AA172" s="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Z172" s="17" t="n"/>
      <c r="BA172" s="17" t="n"/>
      <c r="BB172" s="17" t="n"/>
    </row>
    <row r="173" ht="15" customHeight="1" s="429">
      <c r="A173" s="6" t="n"/>
      <c r="B173" s="222">
        <f>[2]Analysis!B3</f>
        <v/>
      </c>
      <c r="C173" s="222">
        <f>[2]Analysis!C3</f>
        <v/>
      </c>
      <c r="D173" s="442" t="n"/>
      <c r="E173" s="222">
        <f>[2]Analysis!D3</f>
        <v/>
      </c>
      <c r="F173" s="442" t="n"/>
      <c r="G173" s="222">
        <f>[2]Analysis!E3</f>
        <v/>
      </c>
      <c r="H173" s="222">
        <f>[2]Analysis!F3</f>
        <v/>
      </c>
      <c r="I173" s="222">
        <f>[2]Analysis!A_C</f>
        <v/>
      </c>
      <c r="J173" s="222">
        <f>[2]Analysis!H3</f>
        <v/>
      </c>
      <c r="K173" s="222">
        <f>[2]Analysis!I3</f>
        <v/>
      </c>
      <c r="L173" s="222">
        <f>[2]Analysis!J3</f>
        <v/>
      </c>
      <c r="M173" s="222">
        <f>[2]Analysis!K3</f>
        <v/>
      </c>
      <c r="N173" s="222">
        <f>[2]Analysis!L3</f>
        <v/>
      </c>
      <c r="O173" s="222">
        <f>[2]Analysis!M3</f>
        <v/>
      </c>
      <c r="P173" s="222">
        <f>[2]Analysis!N3</f>
        <v/>
      </c>
      <c r="Q173" s="222">
        <f>[2]Analysis!O3</f>
        <v/>
      </c>
      <c r="R173" s="482" t="n"/>
      <c r="S173" s="519" t="n"/>
      <c r="T173" s="519" t="n"/>
      <c r="U173" s="62" t="n"/>
      <c r="V173" s="62" t="n"/>
      <c r="W173" s="62" t="n"/>
      <c r="X173" s="62" t="n"/>
      <c r="Y173" s="62" t="n"/>
      <c r="Z173" s="16" t="n"/>
      <c r="AA173" s="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Z173" s="17" t="n"/>
      <c r="BA173" s="17" t="n"/>
      <c r="BB173" s="17" t="n"/>
    </row>
    <row r="174" ht="14.25" customHeight="1" s="429">
      <c r="A174" s="6" t="n"/>
      <c r="B174" s="93">
        <f>IF([2]负载输入!A4=0," ",[2]负载输入!A4)</f>
        <v/>
      </c>
      <c r="C174" s="202">
        <f>IF([2]负载输入!A4=0," ",[2]Analysis!C4)</f>
        <v/>
      </c>
      <c r="D174" s="442" t="n"/>
      <c r="E174" s="202">
        <f>IF([2]负载输入!A4=0," ",[2]Analysis!D4)</f>
        <v/>
      </c>
      <c r="F174" s="442" t="n"/>
      <c r="G174" s="202">
        <f>IF([2]负载输入!A4=0," ",[2]Analysis!E4)</f>
        <v/>
      </c>
      <c r="H174" s="520">
        <f>IF([2]负载输入!A4=0," ",[2]负载输入!E4)</f>
        <v/>
      </c>
      <c r="I174" s="520">
        <f>IF([2]负载输入!A4=0," ",[2]负载输入!F4)</f>
        <v/>
      </c>
      <c r="J174" s="520">
        <f>IF([2]负载输入!A4=0," ",IF($J$173="NA"," ",[2]负载输入!G4))</f>
        <v/>
      </c>
      <c r="K174" s="520">
        <f>IF([2]负载输入!A4=0," ",IF($K$173="NA"," ",[2]负载输入!H4))</f>
        <v/>
      </c>
      <c r="L174" s="520">
        <f>IF([2]负载输入!A4=0," ",IF($L$173="NA"," ",[2]负载输入!I4))</f>
        <v/>
      </c>
      <c r="M174" s="520">
        <f>IF([2]负载输入!A4=0," ",IF($M$173="NA"," ",[2]负载输入!J4))</f>
        <v/>
      </c>
      <c r="N174" s="520">
        <f>IF([2]负载输入!A4=0," ",IF($N$173="NA"," ",[2]负载输入!K4))</f>
        <v/>
      </c>
      <c r="O174" s="520">
        <f>IF([2]负载输入!A4=0," ",IF($O$173="NA"," ",[2]负载输入!L4))</f>
        <v/>
      </c>
      <c r="P174" s="520">
        <f>IF([2]负载输入!A4=0," ",IF($P$173="NA"," ",[2]负载输入!M4))</f>
        <v/>
      </c>
      <c r="Q174" s="520">
        <f>IF([2]负载输入!A4=0," ",IF($Q$173="NA"," ",[2]负载输入!N4))</f>
        <v/>
      </c>
      <c r="R174" s="482" t="n"/>
      <c r="S174" s="519" t="n"/>
      <c r="T174" s="519" t="n"/>
      <c r="U174" s="62" t="n"/>
      <c r="V174" s="62" t="n"/>
      <c r="W174" s="62" t="n"/>
      <c r="X174" s="62" t="n"/>
      <c r="Y174" s="62" t="n"/>
      <c r="Z174" s="16" t="n"/>
      <c r="AA174" s="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Z174" s="17" t="n"/>
      <c r="BA174" s="17" t="n"/>
      <c r="BB174" s="17" t="n"/>
    </row>
    <row r="175">
      <c r="A175" s="6" t="n"/>
      <c r="B175" s="96">
        <f>IF([2]负载输入!A5=0," ",[2]负载输入!A5)</f>
        <v/>
      </c>
      <c r="C175" s="222">
        <f>IF([2]负载输入!A5=0," ",[2]Analysis!C5)</f>
        <v/>
      </c>
      <c r="D175" s="442" t="n"/>
      <c r="E175" s="222">
        <f>IF([2]负载输入!A5=0," ",[2]Analysis!D5)</f>
        <v/>
      </c>
      <c r="F175" s="442" t="n"/>
      <c r="G175" s="222">
        <f>IF([2]负载输入!A5=0," ",[2]Analysis!E5)</f>
        <v/>
      </c>
      <c r="H175" s="521">
        <f>IF([2]负载输入!A5=0," ",[2]负载输入!E5)</f>
        <v/>
      </c>
      <c r="I175" s="521">
        <f>IF([2]负载输入!A5=0," ",[2]负载输入!F5)</f>
        <v/>
      </c>
      <c r="J175" s="521">
        <f>IF([2]负载输入!A5=0," ",IF($J$173="NA"," ",[2]负载输入!G5))</f>
        <v/>
      </c>
      <c r="K175" s="521">
        <f>IF([2]负载输入!A5=0," ",IF($K$173="NA"," ",[2]负载输入!H5))</f>
        <v/>
      </c>
      <c r="L175" s="521">
        <f>IF([2]负载输入!A5=0," ",IF($L$173="NA"," ",[2]负载输入!I5))</f>
        <v/>
      </c>
      <c r="M175" s="521">
        <f>IF([2]负载输入!A5=0," ",IF($M$173="NA"," ",[2]负载输入!J5))</f>
        <v/>
      </c>
      <c r="N175" s="521">
        <f>IF([2]负载输入!A5=0," ",IF($N$173="NA"," ",[2]负载输入!K5))</f>
        <v/>
      </c>
      <c r="O175" s="521">
        <f>IF([2]负载输入!A5=0," ",IF($O$173="NA"," ",[2]负载输入!L5))</f>
        <v/>
      </c>
      <c r="P175" s="521">
        <f>IF([2]负载输入!A5=0," ",IF($P$173="NA"," ",[2]负载输入!M5))</f>
        <v/>
      </c>
      <c r="Q175" s="521">
        <f>IF([2]负载输入!A5=0," ",IF($Q$173="NA"," ",[2]负载输入!N5))</f>
        <v/>
      </c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7" t="n"/>
      <c r="AB175" s="283" t="n"/>
      <c r="AC175" s="38" t="n"/>
      <c r="AD175" s="38" t="n"/>
      <c r="AE175" s="38" t="n"/>
      <c r="AF175" s="38" t="n"/>
      <c r="AG175" s="283" t="n"/>
      <c r="AH175" s="283" t="n"/>
      <c r="AI175" s="283" t="n"/>
      <c r="AJ175" s="283" t="n"/>
      <c r="AK175" s="283" t="n"/>
      <c r="AL175" s="283" t="n"/>
      <c r="AM175" s="283" t="n"/>
      <c r="AN175" s="283" t="n"/>
      <c r="AO175" s="283" t="n"/>
      <c r="AY175" s="283" t="n"/>
      <c r="AZ175" s="38" t="n"/>
      <c r="BA175" s="38" t="n"/>
      <c r="BB175" s="283" t="n"/>
    </row>
    <row r="176">
      <c r="A176" s="6" t="n"/>
      <c r="B176" s="93">
        <f>IF([2]负载输入!A6=0," ",[2]负载输入!A6)</f>
        <v/>
      </c>
      <c r="C176" s="202">
        <f>IF([2]负载输入!A6=0," ",[2]Analysis!C6)</f>
        <v/>
      </c>
      <c r="D176" s="442" t="n"/>
      <c r="E176" s="202">
        <f>IF([2]负载输入!A6=0," ",[2]Analysis!D6)</f>
        <v/>
      </c>
      <c r="F176" s="442" t="n"/>
      <c r="G176" s="202">
        <f>IF([2]负载输入!A6=0," ",[2]Analysis!E6)</f>
        <v/>
      </c>
      <c r="H176" s="520">
        <f>IF([2]负载输入!A6=0," ",[2]负载输入!E6)</f>
        <v/>
      </c>
      <c r="I176" s="520">
        <f>IF([2]负载输入!A6=0," ",[2]负载输入!F6)</f>
        <v/>
      </c>
      <c r="J176" s="520">
        <f>IF([2]负载输入!A6=0," ",IF($J$173="NA"," ",[2]负载输入!G6))</f>
        <v/>
      </c>
      <c r="K176" s="520">
        <f>IF([2]负载输入!A6=0," ",IF($K$173="NA"," ",[2]负载输入!H6))</f>
        <v/>
      </c>
      <c r="L176" s="520">
        <f>IF([2]负载输入!A6=0," ",IF($L$173="NA"," ",[2]负载输入!I6))</f>
        <v/>
      </c>
      <c r="M176" s="520">
        <f>IF([2]负载输入!A6=0," ",IF($M$173="NA"," ",[2]负载输入!J6))</f>
        <v/>
      </c>
      <c r="N176" s="520">
        <f>IF([2]负载输入!A6=0," ",IF($N$173="NA"," ",[2]负载输入!K6))</f>
        <v/>
      </c>
      <c r="O176" s="520">
        <f>IF([2]负载输入!A6=0," ",IF($O$173="NA"," ",[2]负载输入!L6))</f>
        <v/>
      </c>
      <c r="P176" s="520">
        <f>IF([2]负载输入!A6=0," ",IF($P$173="NA"," ",[2]负载输入!M6))</f>
        <v/>
      </c>
      <c r="Q176" s="520">
        <f>IF([2]负载输入!A6=0," ",IF($Q$173="NA"," ",[2]负载输入!N6))</f>
        <v/>
      </c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7" t="n"/>
      <c r="AB176" s="283" t="n"/>
      <c r="AC176" s="38" t="n"/>
      <c r="AD176" s="38" t="n"/>
      <c r="AE176" s="38" t="n"/>
      <c r="AF176" s="38" t="n"/>
      <c r="AG176" s="283" t="n"/>
      <c r="AH176" s="283" t="n"/>
      <c r="AI176" s="283" t="n"/>
      <c r="AJ176" s="283" t="n"/>
      <c r="AK176" s="283" t="n"/>
      <c r="AL176" s="283" t="n"/>
      <c r="AM176" s="283" t="n"/>
      <c r="AN176" s="283" t="n"/>
      <c r="AO176" s="283" t="n"/>
      <c r="AY176" s="283" t="n"/>
      <c r="AZ176" s="38" t="n"/>
      <c r="BA176" s="38" t="n"/>
      <c r="BB176" s="283" t="n"/>
    </row>
    <row r="177">
      <c r="A177" s="6" t="n"/>
      <c r="B177" s="96">
        <f>IF([2]负载输入!A7=0," ",[2]负载输入!A7)</f>
        <v/>
      </c>
      <c r="C177" s="222">
        <f>IF([2]负载输入!A7=0," ",[2]Analysis!C7)</f>
        <v/>
      </c>
      <c r="D177" s="442" t="n"/>
      <c r="E177" s="222">
        <f>IF([2]负载输入!A7=0," ",[2]Analysis!D7)</f>
        <v/>
      </c>
      <c r="F177" s="442" t="n"/>
      <c r="G177" s="222">
        <f>IF([2]负载输入!A7=0," ",[2]Analysis!E7)</f>
        <v/>
      </c>
      <c r="H177" s="521">
        <f>IF([2]负载输入!A7=0," ",[2]负载输入!E7)</f>
        <v/>
      </c>
      <c r="I177" s="521">
        <f>IF([2]负载输入!A7=0," ",[2]负载输入!F7)</f>
        <v/>
      </c>
      <c r="J177" s="521">
        <f>IF([2]负载输入!A7=0," ",IF($J$173="NA"," ",[2]负载输入!G7))</f>
        <v/>
      </c>
      <c r="K177" s="521">
        <f>IF([2]负载输入!A7=0," ",IF($K$173="NA"," ",[2]负载输入!H7))</f>
        <v/>
      </c>
      <c r="L177" s="521">
        <f>IF([2]负载输入!A7=0," ",IF($L$173="NA"," ",[2]负载输入!I7))</f>
        <v/>
      </c>
      <c r="M177" s="521">
        <f>IF([2]负载输入!A7=0," ",IF($M$173="NA"," ",[2]负载输入!J7))</f>
        <v/>
      </c>
      <c r="N177" s="521">
        <f>IF([2]负载输入!A7=0," ",IF($N$173="NA"," ",[2]负载输入!K7))</f>
        <v/>
      </c>
      <c r="O177" s="521">
        <f>IF([2]负载输入!A7=0," ",IF($O$173="NA"," ",[2]负载输入!L7))</f>
        <v/>
      </c>
      <c r="P177" s="521">
        <f>IF([2]负载输入!A7=0," ",IF($P$173="NA"," ",[2]负载输入!M7))</f>
        <v/>
      </c>
      <c r="Q177" s="521">
        <f>IF([2]负载输入!A7=0," ",IF($Q$173="NA"," ",[2]负载输入!N7))</f>
        <v/>
      </c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7" t="n"/>
      <c r="AB177" s="283" t="n"/>
      <c r="AC177" s="38" t="n"/>
      <c r="AD177" s="38" t="n"/>
      <c r="AE177" s="38" t="n"/>
      <c r="AF177" s="38" t="n"/>
      <c r="AG177" s="283" t="n"/>
      <c r="AH177" s="283" t="n"/>
      <c r="AI177" s="283" t="n"/>
      <c r="AJ177" s="283" t="n"/>
      <c r="AK177" s="283" t="n"/>
      <c r="AL177" s="283" t="n"/>
      <c r="AM177" s="283" t="n"/>
      <c r="AN177" s="283" t="n"/>
      <c r="AO177" s="283" t="n"/>
      <c r="AY177" s="283" t="n"/>
      <c r="AZ177" s="38" t="n"/>
      <c r="BA177" s="38" t="n"/>
      <c r="BB177" s="283" t="n"/>
    </row>
    <row r="178">
      <c r="A178" s="6" t="n"/>
      <c r="B178" s="93">
        <f>IF([2]负载输入!A8=0," ",[2]负载输入!A8)</f>
        <v/>
      </c>
      <c r="C178" s="202">
        <f>IF([2]负载输入!A8=0," ",[2]Analysis!C8)</f>
        <v/>
      </c>
      <c r="D178" s="442" t="n"/>
      <c r="E178" s="202">
        <f>IF([2]负载输入!A8=0," ",[2]Analysis!D8)</f>
        <v/>
      </c>
      <c r="F178" s="442" t="n"/>
      <c r="G178" s="202">
        <f>IF([2]负载输入!A8=0," ",[2]Analysis!E8)</f>
        <v/>
      </c>
      <c r="H178" s="520">
        <f>IF([2]负载输入!A8=0," ",[2]负载输入!E8)</f>
        <v/>
      </c>
      <c r="I178" s="520">
        <f>IF([2]负载输入!A8=0," ",[2]负载输入!F8)</f>
        <v/>
      </c>
      <c r="J178" s="520">
        <f>IF([2]负载输入!A8=0," ",IF($J$173="NA"," ",[2]负载输入!G8))</f>
        <v/>
      </c>
      <c r="K178" s="520">
        <f>IF([2]负载输入!A8=0," ",IF($K$173="NA"," ",[2]负载输入!H8))</f>
        <v/>
      </c>
      <c r="L178" s="520">
        <f>IF([2]负载输入!A8=0," ",IF($L$173="NA"," ",[2]负载输入!I8))</f>
        <v/>
      </c>
      <c r="M178" s="520">
        <f>IF([2]负载输入!A8=0," ",IF($M$173="NA"," ",[2]负载输入!J8))</f>
        <v/>
      </c>
      <c r="N178" s="520">
        <f>IF([2]负载输入!A8=0," ",IF($N$173="NA"," ",[2]负载输入!K8))</f>
        <v/>
      </c>
      <c r="O178" s="520">
        <f>IF([2]负载输入!A8=0," ",IF($O$173="NA"," ",[2]负载输入!L8))</f>
        <v/>
      </c>
      <c r="P178" s="520">
        <f>IF([2]负载输入!A8=0," ",IF($P$173="NA"," ",[2]负载输入!M8))</f>
        <v/>
      </c>
      <c r="Q178" s="520">
        <f>IF([2]负载输入!A8=0," ",IF($Q$173="NA"," ",[2]负载输入!N8))</f>
        <v/>
      </c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7" t="n"/>
      <c r="AB178" s="283" t="n"/>
      <c r="AC178" s="38" t="n"/>
      <c r="AD178" s="38" t="n"/>
      <c r="AE178" s="38" t="n"/>
      <c r="AF178" s="38" t="n"/>
      <c r="AG178" s="283" t="n"/>
      <c r="AH178" s="283" t="n"/>
      <c r="AI178" s="283" t="n"/>
      <c r="AJ178" s="283" t="n"/>
      <c r="AK178" s="283" t="n"/>
      <c r="AL178" s="283" t="n"/>
      <c r="AM178" s="283" t="n"/>
      <c r="AN178" s="283" t="n"/>
      <c r="AO178" s="283" t="n"/>
      <c r="AY178" s="283" t="n"/>
      <c r="AZ178" s="38" t="n"/>
      <c r="BA178" s="38" t="n"/>
      <c r="BB178" s="283" t="n"/>
    </row>
    <row r="179">
      <c r="A179" s="6" t="n"/>
      <c r="B179" s="96">
        <f>IF([2]负载输入!A9=0," ",[2]负载输入!A9)</f>
        <v/>
      </c>
      <c r="C179" s="222">
        <f>IF([2]负载输入!A9=0," ",[2]Analysis!C9)</f>
        <v/>
      </c>
      <c r="D179" s="442" t="n"/>
      <c r="E179" s="222">
        <f>IF([2]负载输入!A9=0," ",[2]Analysis!D9)</f>
        <v/>
      </c>
      <c r="F179" s="442" t="n"/>
      <c r="G179" s="222">
        <f>IF([2]负载输入!A9=0," ",[2]Analysis!E9)</f>
        <v/>
      </c>
      <c r="H179" s="521">
        <f>IF([2]负载输入!A9=0," ",[2]负载输入!E9)</f>
        <v/>
      </c>
      <c r="I179" s="521">
        <f>IF([2]负载输入!A9=0," ",[2]负载输入!F9)</f>
        <v/>
      </c>
      <c r="J179" s="521">
        <f>IF([2]负载输入!A9=0," ",IF($J$173="NA"," ",[2]负载输入!G9))</f>
        <v/>
      </c>
      <c r="K179" s="521">
        <f>IF([2]负载输入!A9=0," ",IF($K$173="NA"," ",[2]负载输入!H9))</f>
        <v/>
      </c>
      <c r="L179" s="521">
        <f>IF([2]负载输入!A9=0," ",IF($L$173="NA"," ",[2]负载输入!I9))</f>
        <v/>
      </c>
      <c r="M179" s="521">
        <f>IF([2]负载输入!A9=0," ",IF($M$173="NA"," ",[2]负载输入!J9))</f>
        <v/>
      </c>
      <c r="N179" s="521">
        <f>IF([2]负载输入!A9=0," ",IF($N$173="NA"," ",[2]负载输入!K9))</f>
        <v/>
      </c>
      <c r="O179" s="521">
        <f>IF([2]负载输入!A9=0," ",IF($O$173="NA"," ",[2]负载输入!L9))</f>
        <v/>
      </c>
      <c r="P179" s="521">
        <f>IF([2]负载输入!A9=0," ",IF($P$173="NA"," ",[2]负载输入!M9))</f>
        <v/>
      </c>
      <c r="Q179" s="521">
        <f>IF([2]负载输入!A9=0," ",IF($Q$173="NA"," ",[2]负载输入!N9))</f>
        <v/>
      </c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7" t="n"/>
      <c r="AB179" s="283" t="n"/>
      <c r="AC179" s="38" t="n"/>
      <c r="AD179" s="38" t="n"/>
      <c r="AE179" s="38" t="n"/>
      <c r="AF179" s="38" t="n"/>
      <c r="AG179" s="283" t="n"/>
      <c r="AH179" s="283" t="n"/>
      <c r="AI179" s="283" t="n"/>
      <c r="AJ179" s="283" t="n"/>
      <c r="AK179" s="283" t="n"/>
      <c r="AL179" s="283" t="n"/>
      <c r="AM179" s="283" t="n"/>
      <c r="AN179" s="283" t="n"/>
      <c r="AO179" s="283" t="n"/>
      <c r="AY179" s="283" t="n"/>
      <c r="AZ179" s="38" t="n"/>
      <c r="BA179" s="38" t="n"/>
      <c r="BB179" s="283" t="n"/>
    </row>
    <row r="180">
      <c r="A180" s="6" t="n"/>
      <c r="B180" s="93">
        <f>IF([2]负载输入!A10=0," ",[2]负载输入!A10)</f>
        <v/>
      </c>
      <c r="C180" s="202">
        <f>IF([2]负载输入!A10=0," ",[2]Analysis!C10)</f>
        <v/>
      </c>
      <c r="D180" s="442" t="n"/>
      <c r="E180" s="202">
        <f>IF([2]负载输入!A10=0," ",[2]Analysis!D10)</f>
        <v/>
      </c>
      <c r="F180" s="442" t="n"/>
      <c r="G180" s="202">
        <f>IF([2]负载输入!A10=0," ",[2]Analysis!E10)</f>
        <v/>
      </c>
      <c r="H180" s="520">
        <f>IF([2]负载输入!A10=0," ",[2]负载输入!E10)</f>
        <v/>
      </c>
      <c r="I180" s="520">
        <f>IF([2]负载输入!A10=0," ",[2]负载输入!F10)</f>
        <v/>
      </c>
      <c r="J180" s="520">
        <f>IF([2]负载输入!A10=0," ",IF($J$173="NA"," ",[2]负载输入!G10))</f>
        <v/>
      </c>
      <c r="K180" s="520">
        <f>IF([2]负载输入!A10=0," ",IF($K$173="NA"," ",[2]负载输入!H10))</f>
        <v/>
      </c>
      <c r="L180" s="520">
        <f>IF([2]负载输入!A10=0," ",IF($L$173="NA"," ",[2]负载输入!I10))</f>
        <v/>
      </c>
      <c r="M180" s="520">
        <f>IF([2]负载输入!A10=0," ",IF($M$173="NA"," ",[2]负载输入!J10))</f>
        <v/>
      </c>
      <c r="N180" s="520">
        <f>IF([2]负载输入!A10=0," ",IF($N$173="NA"," ",[2]负载输入!K10))</f>
        <v/>
      </c>
      <c r="O180" s="520">
        <f>IF([2]负载输入!A10=0," ",IF($O$173="NA"," ",[2]负载输入!L10))</f>
        <v/>
      </c>
      <c r="P180" s="520">
        <f>IF([2]负载输入!A10=0," ",IF($P$173="NA"," ",[2]负载输入!M10))</f>
        <v/>
      </c>
      <c r="Q180" s="520">
        <f>IF([2]负载输入!A10=0," ",IF($Q$173="NA"," ",[2]负载输入!N10))</f>
        <v/>
      </c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7" t="n"/>
      <c r="AB180" s="283" t="n"/>
      <c r="AC180" s="38" t="n"/>
      <c r="AD180" s="38" t="n"/>
      <c r="AE180" s="38" t="n"/>
      <c r="AF180" s="38" t="n"/>
      <c r="AG180" s="283" t="n"/>
      <c r="AH180" s="283" t="n"/>
      <c r="AI180" s="283" t="n"/>
      <c r="AJ180" s="283" t="n"/>
      <c r="AK180" s="283" t="n"/>
      <c r="AL180" s="283" t="n"/>
      <c r="AM180" s="283" t="n"/>
      <c r="AN180" s="283" t="n"/>
      <c r="AO180" s="283" t="n"/>
      <c r="AY180" s="283" t="n"/>
      <c r="AZ180" s="38" t="n"/>
      <c r="BA180" s="38" t="n"/>
      <c r="BB180" s="283" t="n"/>
    </row>
    <row r="181">
      <c r="A181" s="6" t="n"/>
      <c r="B181" s="96">
        <f>IF([2]负载输入!A11=0," ",[2]负载输入!A11)</f>
        <v/>
      </c>
      <c r="C181" s="222">
        <f>IF([2]负载输入!A11=0," ",[2]Analysis!C11)</f>
        <v/>
      </c>
      <c r="D181" s="442" t="n"/>
      <c r="E181" s="222">
        <f>IF([2]负载输入!A11=0," ",[2]Analysis!D11)</f>
        <v/>
      </c>
      <c r="F181" s="442" t="n"/>
      <c r="G181" s="222">
        <f>IF([2]负载输入!A11=0," ",[2]Analysis!E11)</f>
        <v/>
      </c>
      <c r="H181" s="521">
        <f>IF([2]负载输入!A11=0," ",[2]负载输入!E11)</f>
        <v/>
      </c>
      <c r="I181" s="521">
        <f>IF([2]负载输入!A11=0," ",[2]负载输入!F11)</f>
        <v/>
      </c>
      <c r="J181" s="521">
        <f>IF([2]负载输入!A11=0," ",IF($J$173="NA"," ",[2]负载输入!G11))</f>
        <v/>
      </c>
      <c r="K181" s="521">
        <f>IF([2]负载输入!A11=0," ",IF($K$173="NA"," ",[2]负载输入!H11))</f>
        <v/>
      </c>
      <c r="L181" s="521">
        <f>IF([2]负载输入!A11=0," ",IF($L$173="NA"," ",[2]负载输入!I11))</f>
        <v/>
      </c>
      <c r="M181" s="521">
        <f>IF([2]负载输入!A11=0," ",IF($M$173="NA"," ",[2]负载输入!J11))</f>
        <v/>
      </c>
      <c r="N181" s="521">
        <f>IF([2]负载输入!A11=0," ",IF($N$173="NA"," ",[2]负载输入!K11))</f>
        <v/>
      </c>
      <c r="O181" s="521">
        <f>IF([2]负载输入!A11=0," ",IF($O$173="NA"," ",[2]负载输入!L11))</f>
        <v/>
      </c>
      <c r="P181" s="521">
        <f>IF([2]负载输入!A11=0," ",IF($P$173="NA"," ",[2]负载输入!M11))</f>
        <v/>
      </c>
      <c r="Q181" s="521">
        <f>IF([2]负载输入!A11=0," ",IF($Q$173="NA"," ",[2]负载输入!N11))</f>
        <v/>
      </c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7" t="n"/>
      <c r="AB181" s="283" t="n"/>
      <c r="AC181" s="38" t="n"/>
      <c r="AD181" s="38" t="n"/>
      <c r="AE181" s="38" t="n"/>
      <c r="AF181" s="38" t="n"/>
      <c r="AG181" s="283" t="n"/>
      <c r="AH181" s="283" t="n"/>
      <c r="AI181" s="283" t="n"/>
      <c r="AJ181" s="283" t="n"/>
      <c r="AK181" s="283" t="n"/>
      <c r="AL181" s="283" t="n"/>
      <c r="AM181" s="283" t="n"/>
      <c r="AN181" s="283" t="n"/>
      <c r="AO181" s="283" t="n"/>
      <c r="AY181" s="283" t="n"/>
      <c r="AZ181" s="38" t="n"/>
      <c r="BA181" s="38" t="n"/>
      <c r="BB181" s="283" t="n"/>
    </row>
    <row r="182">
      <c r="A182" s="6" t="n"/>
      <c r="B182" s="93">
        <f>IF([2]负载输入!A12=0," ",[2]负载输入!A12)</f>
        <v/>
      </c>
      <c r="C182" s="202">
        <f>IF([2]负载输入!A12=0," ",[2]Analysis!C12)</f>
        <v/>
      </c>
      <c r="D182" s="442" t="n"/>
      <c r="E182" s="202">
        <f>IF([2]负载输入!A12=0," ",[2]Analysis!D12)</f>
        <v/>
      </c>
      <c r="F182" s="442" t="n"/>
      <c r="G182" s="202">
        <f>IF([2]负载输入!A12=0," ",[2]Analysis!E12)</f>
        <v/>
      </c>
      <c r="H182" s="520">
        <f>IF([2]负载输入!A12=0," ",[2]负载输入!E12)</f>
        <v/>
      </c>
      <c r="I182" s="520">
        <f>IF([2]负载输入!A12=0," ",[2]负载输入!F12)</f>
        <v/>
      </c>
      <c r="J182" s="520">
        <f>IF([2]负载输入!A12=0," ",IF($J$173="NA"," ",[2]负载输入!G12))</f>
        <v/>
      </c>
      <c r="K182" s="520">
        <f>IF([2]负载输入!A12=0," ",IF($K$173="NA"," ",[2]负载输入!H12))</f>
        <v/>
      </c>
      <c r="L182" s="520">
        <f>IF([2]负载输入!A12=0," ",IF($L$173="NA"," ",[2]负载输入!I12))</f>
        <v/>
      </c>
      <c r="M182" s="520">
        <f>IF([2]负载输入!A12=0," ",IF($M$173="NA"," ",[2]负载输入!J12))</f>
        <v/>
      </c>
      <c r="N182" s="520">
        <f>IF([2]负载输入!A12=0," ",IF($N$173="NA"," ",[2]负载输入!K12))</f>
        <v/>
      </c>
      <c r="O182" s="520">
        <f>IF([2]负载输入!A12=0," ",IF($O$173="NA"," ",[2]负载输入!L12))</f>
        <v/>
      </c>
      <c r="P182" s="520">
        <f>IF([2]负载输入!A12=0," ",IF($P$173="NA"," ",[2]负载输入!M12))</f>
        <v/>
      </c>
      <c r="Q182" s="520">
        <f>IF([2]负载输入!A12=0," ",IF($Q$173="NA"," ",[2]负载输入!N12))</f>
        <v/>
      </c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7" t="n"/>
      <c r="AB182" s="283" t="n"/>
      <c r="AC182" s="38" t="n"/>
      <c r="AD182" s="38" t="n"/>
      <c r="AE182" s="38" t="n"/>
      <c r="AF182" s="38" t="n"/>
      <c r="AG182" s="283" t="n"/>
      <c r="AH182" s="283" t="n"/>
      <c r="AI182" s="283" t="n"/>
      <c r="AJ182" s="283" t="n"/>
      <c r="AK182" s="283" t="n"/>
      <c r="AL182" s="283" t="n"/>
      <c r="AM182" s="283" t="n"/>
      <c r="AN182" s="283" t="n"/>
      <c r="AO182" s="283" t="n"/>
      <c r="AY182" s="283" t="n"/>
      <c r="AZ182" s="38" t="n"/>
      <c r="BA182" s="38" t="n"/>
      <c r="BB182" s="283" t="n"/>
    </row>
    <row r="183">
      <c r="A183" s="6" t="n"/>
      <c r="B183" s="93">
        <f>IF([2]负载输入!A13=0," ",[2]负载输入!A13)</f>
        <v/>
      </c>
      <c r="C183" s="202">
        <f>IF([2]负载输入!A13=0," ",[2]Analysis!C13)</f>
        <v/>
      </c>
      <c r="D183" s="442" t="n"/>
      <c r="E183" s="202">
        <f>IF([2]负载输入!A13=0," ",[2]Analysis!D13)</f>
        <v/>
      </c>
      <c r="F183" s="442" t="n"/>
      <c r="G183" s="202">
        <f>IF([2]负载输入!A13=0," ",[2]Analysis!E13)</f>
        <v/>
      </c>
      <c r="H183" s="520">
        <f>IF([2]负载输入!A13=0," ",[2]负载输入!E13)</f>
        <v/>
      </c>
      <c r="I183" s="520">
        <f>IF([2]负载输入!A13=0," ",[2]负载输入!F13)</f>
        <v/>
      </c>
      <c r="J183" s="520">
        <f>IF([2]负载输入!A13=0," ",IF($J$173="NA"," ",[2]负载输入!G13))</f>
        <v/>
      </c>
      <c r="K183" s="520">
        <f>IF([2]负载输入!A13=0," ",IF($K$173="NA"," ",[2]负载输入!H13))</f>
        <v/>
      </c>
      <c r="L183" s="520">
        <f>IF([2]负载输入!A13=0," ",IF($L$173="NA"," ",[2]负载输入!I13))</f>
        <v/>
      </c>
      <c r="M183" s="520">
        <f>IF([2]负载输入!A13=0," ",IF($M$173="NA"," ",[2]负载输入!J13))</f>
        <v/>
      </c>
      <c r="N183" s="520">
        <f>IF([2]负载输入!A13=0," ",IF($N$173="NA"," ",[2]负载输入!K13))</f>
        <v/>
      </c>
      <c r="O183" s="520">
        <f>IF([2]负载输入!A13=0," ",IF($O$173="NA"," ",[2]负载输入!L13))</f>
        <v/>
      </c>
      <c r="P183" s="520">
        <f>IF([2]负载输入!A13=0," ",IF($P$173="NA"," ",[2]负载输入!M13))</f>
        <v/>
      </c>
      <c r="Q183" s="520">
        <f>IF([2]负载输入!A13=0," ",IF($Q$173="NA"," ",[2]负载输入!N13))</f>
        <v/>
      </c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7" t="n"/>
      <c r="AB183" s="283" t="n"/>
      <c r="AC183" s="38" t="n"/>
      <c r="AD183" s="38" t="n"/>
      <c r="AE183" s="38" t="n"/>
      <c r="AF183" s="38" t="n"/>
      <c r="AG183" s="283" t="n"/>
      <c r="AH183" s="283" t="n"/>
      <c r="AI183" s="283" t="n"/>
      <c r="AJ183" s="283" t="n"/>
      <c r="AK183" s="283" t="n"/>
      <c r="AL183" s="283" t="n"/>
      <c r="AM183" s="283" t="n"/>
      <c r="AN183" s="283" t="n"/>
      <c r="AO183" s="283" t="n"/>
      <c r="AY183" s="283" t="n"/>
      <c r="AZ183" s="38" t="n"/>
      <c r="BA183" s="38" t="n"/>
      <c r="BB183" s="283" t="n"/>
    </row>
    <row r="184">
      <c r="A184" s="6" t="n"/>
      <c r="B184" s="93">
        <f>IF([2]负载输入!A14=0," ",[2]负载输入!A14)</f>
        <v/>
      </c>
      <c r="C184" s="202">
        <f>IF([2]负载输入!A14=0," ",[2]Analysis!C14)</f>
        <v/>
      </c>
      <c r="D184" s="442" t="n"/>
      <c r="E184" s="202">
        <f>IF([2]负载输入!A14=0," ",[2]Analysis!D14)</f>
        <v/>
      </c>
      <c r="F184" s="442" t="n"/>
      <c r="G184" s="202">
        <f>IF([2]负载输入!A14=0," ",[2]Analysis!E14)</f>
        <v/>
      </c>
      <c r="H184" s="520">
        <f>IF([2]负载输入!A14=0," ",[2]负载输入!E14)</f>
        <v/>
      </c>
      <c r="I184" s="520">
        <f>IF([2]负载输入!A14=0," ",[2]负载输入!F14)</f>
        <v/>
      </c>
      <c r="J184" s="520">
        <f>IF([2]负载输入!A14=0," ",IF($J$173="NA"," ",[2]负载输入!G14))</f>
        <v/>
      </c>
      <c r="K184" s="520">
        <f>IF([2]负载输入!A14=0," ",IF($K$173="NA"," ",[2]负载输入!H14))</f>
        <v/>
      </c>
      <c r="L184" s="520">
        <f>IF([2]负载输入!A14=0," ",IF($L$173="NA"," ",[2]负载输入!I14))</f>
        <v/>
      </c>
      <c r="M184" s="520">
        <f>IF([2]负载输入!A14=0," ",IF($M$173="NA"," ",[2]负载输入!J14))</f>
        <v/>
      </c>
      <c r="N184" s="520">
        <f>IF([2]负载输入!A14=0," ",IF($N$173="NA"," ",[2]负载输入!K14))</f>
        <v/>
      </c>
      <c r="O184" s="520">
        <f>IF([2]负载输入!A14=0," ",IF($O$173="NA"," ",[2]负载输入!L14))</f>
        <v/>
      </c>
      <c r="P184" s="520">
        <f>IF([2]负载输入!A14=0," ",IF($P$173="NA"," ",[2]负载输入!M14))</f>
        <v/>
      </c>
      <c r="Q184" s="520">
        <f>IF([2]负载输入!A14=0," ",IF($Q$173="NA"," ",[2]负载输入!N14))</f>
        <v/>
      </c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7" t="n"/>
      <c r="AB184" s="283" t="n"/>
      <c r="AC184" s="38" t="n"/>
      <c r="AD184" s="38" t="n"/>
      <c r="AE184" s="38" t="n"/>
      <c r="AF184" s="38" t="n"/>
      <c r="AG184" s="283" t="n"/>
      <c r="AH184" s="283" t="n"/>
      <c r="AI184" s="283" t="n"/>
      <c r="AJ184" s="283" t="n"/>
      <c r="AK184" s="283" t="n"/>
      <c r="AL184" s="283" t="n"/>
      <c r="AM184" s="283" t="n"/>
      <c r="AN184" s="283" t="n"/>
      <c r="AO184" s="283" t="n"/>
      <c r="AY184" s="283" t="n"/>
      <c r="AZ184" s="38" t="n"/>
      <c r="BA184" s="38" t="n"/>
      <c r="BB184" s="283" t="n"/>
    </row>
    <row r="185">
      <c r="A185" s="6" t="n"/>
      <c r="B185" s="93">
        <f>IF([2]负载输入!A15=0," ",[2]负载输入!A15)</f>
        <v/>
      </c>
      <c r="C185" s="202">
        <f>IF([2]负载输入!A15=0," ",[2]Analysis!C15)</f>
        <v/>
      </c>
      <c r="D185" s="442" t="n"/>
      <c r="E185" s="202">
        <f>IF([2]负载输入!A15=0," ",[2]Analysis!D15)</f>
        <v/>
      </c>
      <c r="F185" s="442" t="n"/>
      <c r="G185" s="202">
        <f>IF([2]负载输入!A15=0," ",[2]Analysis!E15)</f>
        <v/>
      </c>
      <c r="H185" s="520">
        <f>IF([2]负载输入!A15=0," ",[2]负载输入!E15)</f>
        <v/>
      </c>
      <c r="I185" s="520">
        <f>IF([2]负载输入!A15=0," ",[2]负载输入!F15)</f>
        <v/>
      </c>
      <c r="J185" s="520">
        <f>IF([2]负载输入!A15=0," ",IF($J$173="NA"," ",[2]负载输入!G15))</f>
        <v/>
      </c>
      <c r="K185" s="520">
        <f>IF([2]负载输入!A15=0," ",IF($K$173="NA"," ",[2]负载输入!H15))</f>
        <v/>
      </c>
      <c r="L185" s="520">
        <f>IF([2]负载输入!A15=0," ",IF($L$173="NA"," ",[2]负载输入!I15))</f>
        <v/>
      </c>
      <c r="M185" s="520">
        <f>IF([2]负载输入!A15=0," ",IF($M$173="NA"," ",[2]负载输入!J15))</f>
        <v/>
      </c>
      <c r="N185" s="520">
        <f>IF([2]负载输入!A15=0," ",IF($N$173="NA"," ",[2]负载输入!K15))</f>
        <v/>
      </c>
      <c r="O185" s="520">
        <f>IF([2]负载输入!A15=0," ",IF($O$173="NA"," ",[2]负载输入!L15))</f>
        <v/>
      </c>
      <c r="P185" s="520">
        <f>IF([2]负载输入!A15=0," ",IF($P$173="NA"," ",[2]负载输入!M15))</f>
        <v/>
      </c>
      <c r="Q185" s="520">
        <f>IF([2]负载输入!A15=0," ",IF($Q$173="NA"," ",[2]负载输入!N15))</f>
        <v/>
      </c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7" t="n"/>
      <c r="AB185" s="283" t="n"/>
      <c r="AC185" s="38" t="n"/>
      <c r="AD185" s="38" t="n"/>
      <c r="AE185" s="38" t="n"/>
      <c r="AF185" s="38" t="n"/>
      <c r="AG185" s="283" t="n"/>
      <c r="AH185" s="283" t="n"/>
      <c r="AI185" s="283" t="n"/>
      <c r="AJ185" s="283" t="n"/>
      <c r="AK185" s="283" t="n"/>
      <c r="AL185" s="283" t="n"/>
      <c r="AM185" s="283" t="n"/>
      <c r="AN185" s="283" t="n"/>
      <c r="AO185" s="283" t="n"/>
      <c r="AY185" s="283" t="n"/>
      <c r="AZ185" s="38" t="n"/>
      <c r="BA185" s="38" t="n"/>
      <c r="BB185" s="283" t="n"/>
    </row>
    <row r="186">
      <c r="A186" s="6" t="n"/>
      <c r="B186" s="93">
        <f>IF([2]负载输入!A16=0," ",[2]负载输入!A16)</f>
        <v/>
      </c>
      <c r="C186" s="202">
        <f>IF([2]负载输入!A16=0," ",[2]Analysis!C16)</f>
        <v/>
      </c>
      <c r="D186" s="442" t="n"/>
      <c r="E186" s="202">
        <f>IF([2]负载输入!A16=0," ",[2]Analysis!D16)</f>
        <v/>
      </c>
      <c r="F186" s="442" t="n"/>
      <c r="G186" s="202">
        <f>IF([2]负载输入!A16=0," ",[2]Analysis!E16)</f>
        <v/>
      </c>
      <c r="H186" s="520">
        <f>IF([2]负载输入!A16=0," ",[2]负载输入!E16)</f>
        <v/>
      </c>
      <c r="I186" s="520">
        <f>IF([2]负载输入!A16=0," ",[2]负载输入!F16)</f>
        <v/>
      </c>
      <c r="J186" s="520">
        <f>IF([2]负载输入!A16=0," ",IF($J$173="NA"," ",[2]负载输入!G16))</f>
        <v/>
      </c>
      <c r="K186" s="520">
        <f>IF([2]负载输入!A16=0," ",IF($K$173="NA"," ",[2]负载输入!H16))</f>
        <v/>
      </c>
      <c r="L186" s="520">
        <f>IF([2]负载输入!A16=0," ",IF($L$173="NA"," ",[2]负载输入!I16))</f>
        <v/>
      </c>
      <c r="M186" s="520">
        <f>IF([2]负载输入!A16=0," ",IF($M$173="NA"," ",[2]负载输入!J16))</f>
        <v/>
      </c>
      <c r="N186" s="520">
        <f>IF([2]负载输入!A16=0," ",IF($N$173="NA"," ",[2]负载输入!K16))</f>
        <v/>
      </c>
      <c r="O186" s="520">
        <f>IF([2]负载输入!A16=0," ",IF($O$173="NA"," ",[2]负载输入!L16))</f>
        <v/>
      </c>
      <c r="P186" s="520">
        <f>IF([2]负载输入!A16=0," ",IF($P$173="NA"," ",[2]负载输入!M16))</f>
        <v/>
      </c>
      <c r="Q186" s="520">
        <f>IF([2]负载输入!A16=0," ",IF($Q$173="NA"," ",[2]负载输入!N16))</f>
        <v/>
      </c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7" t="n"/>
      <c r="AB186" s="283" t="n"/>
      <c r="AC186" s="38" t="n"/>
      <c r="AD186" s="38" t="n"/>
      <c r="AE186" s="38" t="n"/>
      <c r="AF186" s="38" t="n"/>
      <c r="AG186" s="283" t="n"/>
      <c r="AH186" s="283" t="n"/>
      <c r="AI186" s="283" t="n"/>
      <c r="AJ186" s="283" t="n"/>
      <c r="AK186" s="283" t="n"/>
      <c r="AL186" s="283" t="n"/>
      <c r="AM186" s="283" t="n"/>
      <c r="AN186" s="283" t="n"/>
      <c r="AO186" s="283" t="n"/>
      <c r="AY186" s="283" t="n"/>
      <c r="AZ186" s="38" t="n"/>
      <c r="BA186" s="38" t="n"/>
      <c r="BB186" s="283" t="n"/>
    </row>
    <row r="187">
      <c r="A187" s="6" t="n"/>
      <c r="B187" s="93">
        <f>IF([2]负载输入!A17=0," ",[2]负载输入!A17)</f>
        <v/>
      </c>
      <c r="C187" s="202">
        <f>IF([2]负载输入!A17=0," ",[2]Analysis!C17)</f>
        <v/>
      </c>
      <c r="D187" s="442" t="n"/>
      <c r="E187" s="202">
        <f>IF([2]负载输入!A17=0," ",[2]Analysis!D17)</f>
        <v/>
      </c>
      <c r="F187" s="442" t="n"/>
      <c r="G187" s="202">
        <f>IF([2]负载输入!A17=0," ",[2]Analysis!E17)</f>
        <v/>
      </c>
      <c r="H187" s="520">
        <f>IF([2]负载输入!A17=0," ",[2]负载输入!E17)</f>
        <v/>
      </c>
      <c r="I187" s="520">
        <f>IF([2]负载输入!A17=0," ",[2]负载输入!F17)</f>
        <v/>
      </c>
      <c r="J187" s="520">
        <f>IF([2]负载输入!A17=0," ",IF($J$173="NA"," ",[2]负载输入!G17))</f>
        <v/>
      </c>
      <c r="K187" s="520">
        <f>IF([2]负载输入!A17=0," ",IF($K$173="NA"," ",[2]负载输入!H17))</f>
        <v/>
      </c>
      <c r="L187" s="520">
        <f>IF([2]负载输入!A17=0," ",IF($L$173="NA"," ",[2]负载输入!I17))</f>
        <v/>
      </c>
      <c r="M187" s="520">
        <f>IF([2]负载输入!A17=0," ",IF($M$173="NA"," ",[2]负载输入!J17))</f>
        <v/>
      </c>
      <c r="N187" s="520">
        <f>IF([2]负载输入!A17=0," ",IF($N$173="NA"," ",[2]负载输入!K17))</f>
        <v/>
      </c>
      <c r="O187" s="520">
        <f>IF([2]负载输入!A17=0," ",IF($O$173="NA"," ",[2]负载输入!L17))</f>
        <v/>
      </c>
      <c r="P187" s="520">
        <f>IF([2]负载输入!A17=0," ",IF($P$173="NA"," ",[2]负载输入!M17))</f>
        <v/>
      </c>
      <c r="Q187" s="520">
        <f>IF([2]负载输入!A17=0," ",IF($Q$173="NA"," ",[2]负载输入!N17))</f>
        <v/>
      </c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7" t="n"/>
      <c r="AB187" s="283" t="n"/>
      <c r="AC187" s="38" t="n"/>
      <c r="AD187" s="38" t="n"/>
      <c r="AE187" s="38" t="n"/>
      <c r="AF187" s="38" t="n"/>
      <c r="AG187" s="283" t="n"/>
      <c r="AH187" s="283" t="n"/>
      <c r="AI187" s="283" t="n"/>
      <c r="AJ187" s="283" t="n"/>
      <c r="AK187" s="283" t="n"/>
      <c r="AL187" s="283" t="n"/>
      <c r="AM187" s="283" t="n"/>
      <c r="AN187" s="283" t="n"/>
      <c r="AO187" s="283" t="n"/>
      <c r="AY187" s="283" t="n"/>
      <c r="AZ187" s="38" t="n"/>
      <c r="BA187" s="38" t="n"/>
      <c r="BB187" s="283" t="n"/>
    </row>
    <row r="188">
      <c r="A188" s="6" t="n"/>
      <c r="B188" s="93">
        <f>IF([2]负载输入!A18=0," ",[2]负载输入!A18)</f>
        <v/>
      </c>
      <c r="C188" s="202">
        <f>IF([2]负载输入!A18=0," ",[2]Analysis!C18)</f>
        <v/>
      </c>
      <c r="D188" s="442" t="n"/>
      <c r="E188" s="202">
        <f>IF([2]负载输入!A18=0," ",[2]Analysis!D18)</f>
        <v/>
      </c>
      <c r="F188" s="442" t="n"/>
      <c r="G188" s="202">
        <f>IF([2]负载输入!A18=0," ",[2]Analysis!E18)</f>
        <v/>
      </c>
      <c r="H188" s="520">
        <f>IF([2]负载输入!A18=0," ",[2]负载输入!E18)</f>
        <v/>
      </c>
      <c r="I188" s="520">
        <f>IF([2]负载输入!A18=0," ",[2]负载输入!F18)</f>
        <v/>
      </c>
      <c r="J188" s="520">
        <f>IF([2]负载输入!A18=0," ",IF($J$173="NA"," ",[2]负载输入!G18))</f>
        <v/>
      </c>
      <c r="K188" s="520">
        <f>IF([2]负载输入!A18=0," ",IF($K$173="NA"," ",[2]负载输入!H18))</f>
        <v/>
      </c>
      <c r="L188" s="520">
        <f>IF([2]负载输入!A18=0," ",IF($L$173="NA"," ",[2]负载输入!I18))</f>
        <v/>
      </c>
      <c r="M188" s="520">
        <f>IF([2]负载输入!A18=0," ",IF($M$173="NA"," ",[2]负载输入!J18))</f>
        <v/>
      </c>
      <c r="N188" s="520">
        <f>IF([2]负载输入!A18=0," ",IF($N$173="NA"," ",[2]负载输入!K18))</f>
        <v/>
      </c>
      <c r="O188" s="520">
        <f>IF([2]负载输入!A18=0," ",IF($O$173="NA"," ",[2]负载输入!L18))</f>
        <v/>
      </c>
      <c r="P188" s="520">
        <f>IF([2]负载输入!A18=0," ",IF($P$173="NA"," ",[2]负载输入!M18))</f>
        <v/>
      </c>
      <c r="Q188" s="520">
        <f>IF([2]负载输入!A18=0," ",IF($Q$173="NA"," ",[2]负载输入!N18))</f>
        <v/>
      </c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7" t="n"/>
      <c r="AB188" s="283" t="n"/>
      <c r="AC188" s="38" t="n"/>
      <c r="AD188" s="38" t="n"/>
      <c r="AE188" s="38" t="n"/>
      <c r="AF188" s="38" t="n"/>
      <c r="AG188" s="283" t="n"/>
      <c r="AH188" s="283" t="n"/>
      <c r="AI188" s="283" t="n"/>
      <c r="AJ188" s="283" t="n"/>
      <c r="AK188" s="283" t="n"/>
      <c r="AL188" s="283" t="n"/>
      <c r="AM188" s="283" t="n"/>
      <c r="AN188" s="283" t="n"/>
      <c r="AO188" s="283" t="n"/>
      <c r="AY188" s="283" t="n"/>
      <c r="AZ188" s="38" t="n"/>
      <c r="BA188" s="38" t="n"/>
      <c r="BB188" s="283" t="n"/>
    </row>
    <row r="189">
      <c r="A189" s="6" t="n"/>
      <c r="B189" s="93">
        <f>IF([2]负载输入!A19=0," ",[2]负载输入!A19)</f>
        <v/>
      </c>
      <c r="C189" s="202">
        <f>IF([2]负载输入!A19=0," ",[2]Analysis!C19)</f>
        <v/>
      </c>
      <c r="D189" s="442" t="n"/>
      <c r="E189" s="202">
        <f>IF([2]负载输入!A19=0," ",[2]Analysis!D19)</f>
        <v/>
      </c>
      <c r="F189" s="442" t="n"/>
      <c r="G189" s="202">
        <f>IF([2]负载输入!A19=0," ",[2]Analysis!E19)</f>
        <v/>
      </c>
      <c r="H189" s="520">
        <f>IF([2]负载输入!A19=0," ",[2]负载输入!E19)</f>
        <v/>
      </c>
      <c r="I189" s="520">
        <f>IF([2]负载输入!A19=0," ",[2]负载输入!F19)</f>
        <v/>
      </c>
      <c r="J189" s="520">
        <f>IF([2]负载输入!A19=0," ",IF($J$173="NA"," ",[2]负载输入!G19))</f>
        <v/>
      </c>
      <c r="K189" s="520">
        <f>IF([2]负载输入!A19=0," ",IF($K$173="NA"," ",[2]负载输入!H19))</f>
        <v/>
      </c>
      <c r="L189" s="520">
        <f>IF([2]负载输入!A19=0," ",IF($L$173="NA"," ",[2]负载输入!I19))</f>
        <v/>
      </c>
      <c r="M189" s="520">
        <f>IF([2]负载输入!A19=0," ",IF($M$173="NA"," ",[2]负载输入!J19))</f>
        <v/>
      </c>
      <c r="N189" s="520">
        <f>IF([2]负载输入!A19=0," ",IF($N$173="NA"," ",[2]负载输入!K19))</f>
        <v/>
      </c>
      <c r="O189" s="520">
        <f>IF([2]负载输入!A19=0," ",IF($O$173="NA"," ",[2]负载输入!L19))</f>
        <v/>
      </c>
      <c r="P189" s="520">
        <f>IF([2]负载输入!A19=0," ",IF($P$173="NA"," ",[2]负载输入!M19))</f>
        <v/>
      </c>
      <c r="Q189" s="520">
        <f>IF([2]负载输入!A19=0," ",IF($Q$173="NA"," ",[2]负载输入!N19))</f>
        <v/>
      </c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7" t="n"/>
      <c r="AB189" s="283" t="n"/>
      <c r="AC189" s="38" t="n"/>
      <c r="AD189" s="38" t="n"/>
      <c r="AE189" s="38" t="n"/>
      <c r="AF189" s="38" t="n"/>
      <c r="AG189" s="283" t="n"/>
      <c r="AH189" s="283" t="n"/>
      <c r="AI189" s="283" t="n"/>
      <c r="AJ189" s="283" t="n"/>
      <c r="AK189" s="283" t="n"/>
      <c r="AL189" s="283" t="n"/>
      <c r="AM189" s="283" t="n"/>
      <c r="AN189" s="283" t="n"/>
      <c r="AO189" s="283" t="n"/>
      <c r="AY189" s="283" t="n"/>
      <c r="AZ189" s="38" t="n"/>
      <c r="BA189" s="38" t="n"/>
      <c r="BB189" s="283" t="n"/>
    </row>
    <row r="190">
      <c r="A190" s="6" t="n"/>
      <c r="B190" s="93">
        <f>IF([2]负载输入!A20=0," ",[2]负载输入!A20)</f>
        <v/>
      </c>
      <c r="C190" s="202">
        <f>IF([2]负载输入!A20=0," ",[2]Analysis!C20)</f>
        <v/>
      </c>
      <c r="D190" s="442" t="n"/>
      <c r="E190" s="202">
        <f>IF([2]负载输入!A20=0," ",[2]Analysis!D20)</f>
        <v/>
      </c>
      <c r="F190" s="442" t="n"/>
      <c r="G190" s="202">
        <f>IF([2]负载输入!A20=0," ",[2]Analysis!E20)</f>
        <v/>
      </c>
      <c r="H190" s="520">
        <f>IF([2]负载输入!A20=0," ",[2]负载输入!E20)</f>
        <v/>
      </c>
      <c r="I190" s="520">
        <f>IF([2]负载输入!A20=0," ",[2]负载输入!F20)</f>
        <v/>
      </c>
      <c r="J190" s="520">
        <f>IF([2]负载输入!A20=0," ",IF($J$173="NA"," ",[2]负载输入!G20))</f>
        <v/>
      </c>
      <c r="K190" s="520">
        <f>IF([2]负载输入!A20=0," ",IF($K$173="NA"," ",[2]负载输入!H20))</f>
        <v/>
      </c>
      <c r="L190" s="520">
        <f>IF([2]负载输入!A20=0," ",IF($L$173="NA"," ",[2]负载输入!I20))</f>
        <v/>
      </c>
      <c r="M190" s="520">
        <f>IF([2]负载输入!A20=0," ",IF($M$173="NA"," ",[2]负载输入!J20))</f>
        <v/>
      </c>
      <c r="N190" s="520">
        <f>IF([2]负载输入!A20=0," ",IF($N$173="NA"," ",[2]负载输入!K20))</f>
        <v/>
      </c>
      <c r="O190" s="520">
        <f>IF([2]负载输入!A20=0," ",IF($O$173="NA"," ",[2]负载输入!L20))</f>
        <v/>
      </c>
      <c r="P190" s="520">
        <f>IF([2]负载输入!A20=0," ",IF($P$173="NA"," ",[2]负载输入!M20))</f>
        <v/>
      </c>
      <c r="Q190" s="520">
        <f>IF([2]负载输入!A20=0," ",IF($Q$173="NA"," ",[2]负载输入!N20))</f>
        <v/>
      </c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7" t="n"/>
      <c r="AB190" s="283" t="n"/>
      <c r="AC190" s="38" t="n"/>
      <c r="AD190" s="38" t="n"/>
      <c r="AE190" s="38" t="n"/>
      <c r="AF190" s="38" t="n"/>
      <c r="AG190" s="283" t="n"/>
      <c r="AH190" s="283" t="n"/>
      <c r="AI190" s="283" t="n"/>
      <c r="AJ190" s="283" t="n"/>
      <c r="AK190" s="283" t="n"/>
      <c r="AL190" s="283" t="n"/>
      <c r="AM190" s="283" t="n"/>
      <c r="AN190" s="283" t="n"/>
      <c r="AO190" s="283" t="n"/>
      <c r="AY190" s="283" t="n"/>
      <c r="AZ190" s="38" t="n"/>
      <c r="BA190" s="38" t="n"/>
      <c r="BB190" s="283" t="n"/>
    </row>
    <row r="191" ht="9" customHeight="1" s="429">
      <c r="A191" s="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7" t="n"/>
    </row>
    <row r="192" ht="20.4" customHeight="1" s="429">
      <c r="A192" s="6" t="n"/>
      <c r="B192" s="16" t="n"/>
      <c r="C192" s="165" t="inlineStr">
        <is>
          <t xml:space="preserve">Accessory Inertia and Acceleration Data(Input) </t>
        </is>
      </c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7" t="n"/>
    </row>
    <row r="193" ht="8.25" customHeight="1" s="429">
      <c r="A193" s="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7" t="n"/>
    </row>
    <row r="194" ht="9" customHeight="1" s="429">
      <c r="A194" s="6" t="n"/>
      <c r="B194" s="16" t="n"/>
      <c r="C194" s="98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9" t="n"/>
      <c r="O194" s="99" t="n"/>
      <c r="P194" s="99" t="n"/>
      <c r="Q194" s="99" t="n"/>
      <c r="R194" s="99" t="n"/>
      <c r="S194" s="99" t="n"/>
      <c r="T194" s="99" t="n"/>
      <c r="U194" s="99" t="n"/>
      <c r="V194" s="99" t="n"/>
      <c r="W194" s="99" t="n"/>
      <c r="X194" s="99" t="n"/>
      <c r="Y194" s="100" t="n"/>
      <c r="Z194" s="16" t="n"/>
      <c r="AA194" s="7" t="n"/>
    </row>
    <row r="195">
      <c r="A195" s="6" t="n"/>
      <c r="B195" s="16" t="n"/>
      <c r="C195" s="246" t="inlineStr">
        <is>
          <t>Engine Acceleration :</t>
        </is>
      </c>
      <c r="D195" s="439" t="n"/>
      <c r="E195" s="439" t="n"/>
      <c r="F195" s="439" t="n"/>
      <c r="G195" s="439" t="n"/>
      <c r="H195" s="244">
        <f>[2]负载输入!M21</f>
        <v/>
      </c>
      <c r="I195" s="439" t="n"/>
      <c r="J195" s="244" t="inlineStr">
        <is>
          <t>[rpm/sec]</t>
        </is>
      </c>
      <c r="K195" s="439" t="n"/>
      <c r="L195" s="16" t="n"/>
      <c r="M195" s="16" t="n"/>
      <c r="N195" s="247" t="inlineStr">
        <is>
          <t>Engine Deceleration :</t>
        </is>
      </c>
      <c r="O195" s="439" t="n"/>
      <c r="P195" s="439" t="n"/>
      <c r="Q195" s="439" t="n"/>
      <c r="R195" s="439" t="n"/>
      <c r="S195" s="244">
        <f>[2]负载输入!M22</f>
        <v/>
      </c>
      <c r="T195" s="439" t="n"/>
      <c r="U195" s="244" t="inlineStr">
        <is>
          <t>[rpm/sec]</t>
        </is>
      </c>
      <c r="V195" s="439" t="n"/>
      <c r="W195" s="16" t="n"/>
      <c r="X195" s="16" t="n"/>
      <c r="Y195" s="101" t="n"/>
      <c r="Z195" s="16" t="n"/>
      <c r="AA195" s="7" t="n"/>
    </row>
    <row r="196" ht="8.25" customHeight="1" s="429">
      <c r="A196" s="6" t="n"/>
      <c r="B196" s="16" t="n"/>
      <c r="C196" s="31" t="n"/>
      <c r="D196" s="417" t="n"/>
      <c r="E196" s="417" t="n"/>
      <c r="F196" s="417" t="n"/>
      <c r="G196" s="417" t="n"/>
      <c r="H196" s="417" t="n"/>
      <c r="I196" s="417" t="n"/>
      <c r="J196" s="16" t="n"/>
      <c r="K196" s="60" t="n"/>
      <c r="L196" s="60" t="n"/>
      <c r="M196" s="60" t="n"/>
      <c r="N196" s="60" t="n"/>
      <c r="O196" s="60" t="n"/>
      <c r="P196" s="60" t="n"/>
      <c r="Q196" s="60" t="n"/>
      <c r="R196" s="16" t="n"/>
      <c r="S196" s="60" t="n"/>
      <c r="T196" s="60" t="n"/>
      <c r="U196" s="60" t="n"/>
      <c r="V196" s="60" t="n"/>
      <c r="W196" s="60" t="n"/>
      <c r="X196" s="60" t="n"/>
      <c r="Y196" s="102" t="n"/>
      <c r="Z196" s="16" t="n"/>
      <c r="AA196" s="7" t="n"/>
    </row>
    <row r="197">
      <c r="A197" s="6" t="n"/>
      <c r="B197" s="16" t="n"/>
      <c r="C197" s="163" t="inlineStr">
        <is>
          <t>File Name</t>
        </is>
      </c>
      <c r="D197" s="440" t="n"/>
      <c r="E197" s="442" t="n"/>
      <c r="F197" s="163" t="inlineStr">
        <is>
          <t>Moment of Inertia</t>
        </is>
      </c>
      <c r="G197" s="440" t="n"/>
      <c r="H197" s="440" t="n"/>
      <c r="I197" s="442" t="n"/>
      <c r="J197" s="103" t="n"/>
      <c r="K197" s="163" t="inlineStr">
        <is>
          <t>File Name</t>
        </is>
      </c>
      <c r="L197" s="440" t="n"/>
      <c r="M197" s="442" t="n"/>
      <c r="N197" s="445" t="inlineStr">
        <is>
          <t>Moment of Inertia</t>
        </is>
      </c>
      <c r="O197" s="440" t="n"/>
      <c r="P197" s="440" t="n"/>
      <c r="Q197" s="442" t="n"/>
      <c r="R197" s="103" t="n"/>
      <c r="S197" s="163" t="inlineStr">
        <is>
          <t>File Name</t>
        </is>
      </c>
      <c r="T197" s="440" t="n"/>
      <c r="U197" s="442" t="n"/>
      <c r="V197" s="445" t="inlineStr">
        <is>
          <t>Moment of Inertia</t>
        </is>
      </c>
      <c r="W197" s="440" t="n"/>
      <c r="X197" s="440" t="n"/>
      <c r="Y197" s="442" t="n"/>
      <c r="Z197" s="16" t="n"/>
      <c r="AA197" s="7" t="n"/>
    </row>
    <row r="198">
      <c r="A198" s="6" t="n"/>
      <c r="B198" s="16" t="n"/>
      <c r="C198" s="463">
        <f>E50</f>
        <v/>
      </c>
      <c r="D198" s="440" t="n"/>
      <c r="E198" s="442" t="n"/>
      <c r="F198" s="522">
        <f>[2]Input!I5</f>
        <v/>
      </c>
      <c r="G198" s="440" t="n"/>
      <c r="H198" s="148" t="inlineStr">
        <is>
          <t>[kgm^2]</t>
        </is>
      </c>
      <c r="I198" s="442" t="n"/>
      <c r="J198" s="103" t="n"/>
      <c r="K198" s="463">
        <f>E54</f>
        <v/>
      </c>
      <c r="L198" s="440" t="n"/>
      <c r="M198" s="442" t="n"/>
      <c r="N198" s="522">
        <f>[2]Input!I9</f>
        <v/>
      </c>
      <c r="O198" s="440" t="n"/>
      <c r="P198" s="148" t="inlineStr">
        <is>
          <t>[kgm^2]</t>
        </is>
      </c>
      <c r="Q198" s="442" t="n"/>
      <c r="R198" s="103" t="n"/>
      <c r="S198" s="463">
        <f>E58</f>
        <v/>
      </c>
      <c r="T198" s="440" t="n"/>
      <c r="U198" s="442" t="n"/>
      <c r="V198" s="523">
        <f>[2]Input!I13</f>
        <v/>
      </c>
      <c r="W198" s="440" t="n"/>
      <c r="X198" s="148" t="inlineStr">
        <is>
          <t>[kgm^2]</t>
        </is>
      </c>
      <c r="Y198" s="442" t="n"/>
      <c r="Z198" s="16" t="n"/>
      <c r="AA198" s="7" t="n"/>
    </row>
    <row r="199">
      <c r="A199" s="6" t="n"/>
      <c r="B199" s="16" t="n"/>
      <c r="C199" s="463">
        <f>E51</f>
        <v/>
      </c>
      <c r="D199" s="440" t="n"/>
      <c r="E199" s="442" t="n"/>
      <c r="F199" s="522">
        <f>[2]Input!I6</f>
        <v/>
      </c>
      <c r="G199" s="440" t="n"/>
      <c r="H199" s="148" t="inlineStr">
        <is>
          <t>[kgm^2]</t>
        </is>
      </c>
      <c r="I199" s="442" t="n"/>
      <c r="J199" s="103" t="n"/>
      <c r="K199" s="463">
        <f>E55</f>
        <v/>
      </c>
      <c r="L199" s="440" t="n"/>
      <c r="M199" s="442" t="n"/>
      <c r="N199" s="522">
        <f>[2]Input!I10</f>
        <v/>
      </c>
      <c r="O199" s="440" t="n"/>
      <c r="P199" s="148" t="inlineStr">
        <is>
          <t>[kgm^2]</t>
        </is>
      </c>
      <c r="Q199" s="442" t="n"/>
      <c r="R199" s="103" t="n"/>
      <c r="S199" s="463">
        <f>E59</f>
        <v/>
      </c>
      <c r="T199" s="440" t="n"/>
      <c r="U199" s="442" t="n"/>
      <c r="V199" s="523">
        <f>[2]Input!I14</f>
        <v/>
      </c>
      <c r="W199" s="440" t="n"/>
      <c r="X199" s="148" t="inlineStr">
        <is>
          <t>[kgm^2]</t>
        </is>
      </c>
      <c r="Y199" s="442" t="n"/>
      <c r="Z199" s="16" t="n"/>
      <c r="AA199" s="7" t="n"/>
    </row>
    <row r="200">
      <c r="A200" s="6" t="n"/>
      <c r="B200" s="16" t="n"/>
      <c r="C200" s="463">
        <f>E52</f>
        <v/>
      </c>
      <c r="D200" s="440" t="n"/>
      <c r="E200" s="442" t="n"/>
      <c r="F200" s="522">
        <f>[2]Input!I7</f>
        <v/>
      </c>
      <c r="G200" s="440" t="n"/>
      <c r="H200" s="148" t="inlineStr">
        <is>
          <t>[kgm^2]</t>
        </is>
      </c>
      <c r="I200" s="442" t="n"/>
      <c r="J200" s="103" t="n"/>
      <c r="K200" s="463">
        <f>E56</f>
        <v/>
      </c>
      <c r="L200" s="440" t="n"/>
      <c r="M200" s="442" t="n"/>
      <c r="N200" s="522">
        <f>[2]Input!I11</f>
        <v/>
      </c>
      <c r="O200" s="440" t="n"/>
      <c r="P200" s="148" t="inlineStr">
        <is>
          <t>[kgm^2]</t>
        </is>
      </c>
      <c r="Q200" s="442" t="n"/>
      <c r="R200" s="103" t="n"/>
      <c r="S200" s="163" t="inlineStr">
        <is>
          <t>NA</t>
        </is>
      </c>
      <c r="T200" s="440" t="n"/>
      <c r="U200" s="442" t="n"/>
      <c r="V200" s="524" t="n">
        <v>0</v>
      </c>
      <c r="W200" s="440" t="n"/>
      <c r="X200" s="148" t="inlineStr">
        <is>
          <t>[kgm^2]</t>
        </is>
      </c>
      <c r="Y200" s="442" t="n"/>
      <c r="Z200" s="16" t="n"/>
      <c r="AA200" s="7" t="n"/>
    </row>
    <row r="201">
      <c r="A201" s="6" t="n"/>
      <c r="B201" s="16" t="n"/>
      <c r="C201" s="463">
        <f>E53</f>
        <v/>
      </c>
      <c r="D201" s="440" t="n"/>
      <c r="E201" s="442" t="n"/>
      <c r="F201" s="522">
        <f>[2]Input!I8</f>
        <v/>
      </c>
      <c r="G201" s="440" t="n"/>
      <c r="H201" s="148" t="inlineStr">
        <is>
          <t>[kgm^2]</t>
        </is>
      </c>
      <c r="I201" s="442" t="n"/>
      <c r="J201" s="103" t="n"/>
      <c r="K201" s="463">
        <f>E57</f>
        <v/>
      </c>
      <c r="L201" s="440" t="n"/>
      <c r="M201" s="442" t="n"/>
      <c r="N201" s="525">
        <f>[2]Input!I12</f>
        <v/>
      </c>
      <c r="O201" s="440" t="n"/>
      <c r="P201" s="148" t="inlineStr">
        <is>
          <t>[kgm^2]</t>
        </is>
      </c>
      <c r="Q201" s="442" t="n"/>
      <c r="R201" s="103" t="n"/>
      <c r="S201" s="163" t="inlineStr">
        <is>
          <t>NA</t>
        </is>
      </c>
      <c r="T201" s="440" t="n"/>
      <c r="U201" s="442" t="n"/>
      <c r="V201" s="524" t="n">
        <v>0</v>
      </c>
      <c r="W201" s="440" t="n"/>
      <c r="X201" s="148" t="inlineStr">
        <is>
          <t>[kgm^2]</t>
        </is>
      </c>
      <c r="Y201" s="442" t="n"/>
      <c r="Z201" s="104" t="n"/>
      <c r="AA201" s="7" t="n"/>
    </row>
    <row r="202" ht="8.25" customHeight="1" s="429" thickBot="1">
      <c r="A202" s="42" t="n"/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  <c r="AA202" s="46" t="n"/>
    </row>
    <row r="203" ht="6.75" customHeight="1" s="429">
      <c r="A203" s="1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2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Z203" s="17" t="n"/>
      <c r="BA203" s="17" t="n"/>
      <c r="BB203" s="17" t="n"/>
    </row>
    <row r="204" hidden="1" ht="6.75" customHeight="1" s="429">
      <c r="A204" s="6" t="n"/>
      <c r="B204" s="16" t="n"/>
      <c r="C204" s="164" t="inlineStr">
        <is>
          <t>Dynamic Analysis(Results)</t>
        </is>
      </c>
      <c r="T204" s="16" t="n"/>
      <c r="U204" s="16" t="n"/>
      <c r="V204" s="16" t="n"/>
      <c r="W204" s="16" t="n"/>
      <c r="X204" s="16" t="n"/>
      <c r="Y204" s="16" t="n"/>
      <c r="Z204" s="16" t="n"/>
      <c r="AA204" s="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Z204" s="17" t="n"/>
      <c r="BA204" s="17" t="n"/>
      <c r="BB204" s="17" t="n"/>
    </row>
    <row r="205" hidden="1" ht="6.75" customHeight="1" s="429">
      <c r="A205" s="6" t="n"/>
      <c r="B205" s="16" t="n"/>
      <c r="T205" s="16" t="n"/>
      <c r="U205" s="16" t="n"/>
      <c r="V205" s="16" t="n"/>
      <c r="W205" s="16" t="n"/>
      <c r="X205" s="16" t="n"/>
      <c r="Y205" s="16" t="n"/>
      <c r="Z205" s="16" t="n"/>
      <c r="AA205" s="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Z205" s="17" t="n"/>
      <c r="BA205" s="17" t="n"/>
      <c r="BB205" s="17" t="n"/>
    </row>
    <row r="206" ht="19.2" customHeight="1" s="429">
      <c r="A206" s="6" t="n"/>
      <c r="B206" s="16" t="n"/>
      <c r="T206" s="16" t="n"/>
      <c r="U206" s="16" t="n"/>
      <c r="V206" s="16" t="n"/>
      <c r="W206" s="16" t="n"/>
      <c r="X206" s="16" t="n"/>
      <c r="Y206" s="16" t="n"/>
      <c r="Z206" s="16" t="n"/>
      <c r="AA206" s="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Z206" s="17" t="n"/>
      <c r="BA206" s="17" t="n"/>
      <c r="BB206" s="17" t="n"/>
    </row>
    <row r="207" ht="10.95" customHeight="1" s="429">
      <c r="A207" s="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Z207" s="17" t="n"/>
      <c r="BA207" s="17" t="n"/>
      <c r="BB207" s="17" t="n"/>
    </row>
    <row r="208" ht="20.25" customHeight="1" s="429">
      <c r="A208" s="6" t="n"/>
      <c r="B208" s="16" t="n"/>
      <c r="C208" s="165" t="inlineStr">
        <is>
          <t xml:space="preserve"> Belt Slip Safety Factor(Results)</t>
        </is>
      </c>
      <c r="U208" s="76" t="n"/>
      <c r="V208" s="76" t="n"/>
      <c r="W208" s="76" t="n"/>
      <c r="X208" s="76" t="n"/>
      <c r="Y208" s="76" t="n"/>
      <c r="Z208" s="16" t="n"/>
      <c r="AA208" s="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Z208" s="17" t="n"/>
      <c r="BA208" s="17" t="n"/>
      <c r="BB208" s="17" t="n"/>
    </row>
    <row r="209" ht="6.75" customHeight="1" s="429">
      <c r="A209" s="6" t="n"/>
      <c r="B209" s="16" t="n"/>
      <c r="C209" s="165" t="n"/>
      <c r="D209" s="165" t="n"/>
      <c r="E209" s="165" t="n"/>
      <c r="F209" s="165" t="n"/>
      <c r="G209" s="165" t="n"/>
      <c r="H209" s="165" t="n"/>
      <c r="I209" s="165" t="n"/>
      <c r="J209" s="165" t="n"/>
      <c r="K209" s="165" t="n"/>
      <c r="L209" s="165" t="n"/>
      <c r="M209" s="165" t="n"/>
      <c r="N209" s="165" t="n"/>
      <c r="O209" s="165" t="n"/>
      <c r="P209" s="165" t="n"/>
      <c r="Q209" s="165" t="n"/>
      <c r="R209" s="482" t="n"/>
      <c r="S209" s="519" t="n"/>
      <c r="T209" s="519" t="n"/>
      <c r="U209" s="62" t="n"/>
      <c r="V209" s="62" t="n"/>
      <c r="W209" s="62" t="n"/>
      <c r="X209" s="62" t="n"/>
      <c r="Y209" s="62" t="n"/>
      <c r="Z209" s="16" t="n"/>
      <c r="AA209" s="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Z209" s="17" t="n"/>
      <c r="BA209" s="17" t="n"/>
      <c r="BB209" s="17" t="n"/>
    </row>
    <row r="210" ht="15" customHeight="1" s="429">
      <c r="A210" s="6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482" t="n"/>
      <c r="S210" s="519" t="n"/>
      <c r="T210" s="519" t="n"/>
      <c r="U210" s="62" t="n"/>
      <c r="V210" s="62" t="n"/>
      <c r="W210" s="62" t="n"/>
      <c r="X210" s="62" t="n"/>
      <c r="Y210" s="62" t="n"/>
      <c r="Z210" s="16" t="n"/>
      <c r="AA210" s="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Z210" s="17" t="n"/>
      <c r="BA210" s="17" t="n"/>
      <c r="BB210" s="17" t="n"/>
    </row>
    <row r="211" ht="14.25" customHeight="1" s="429">
      <c r="A211" s="6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482" t="n"/>
      <c r="S211" s="519" t="n"/>
      <c r="T211" s="519" t="n"/>
      <c r="U211" s="62" t="n"/>
      <c r="V211" s="62" t="n"/>
      <c r="W211" s="62" t="n"/>
      <c r="X211" s="62" t="n"/>
      <c r="Y211" s="62" t="n"/>
      <c r="Z211" s="16" t="n"/>
      <c r="AA211" s="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Z211" s="17" t="n"/>
      <c r="BA211" s="17" t="n"/>
      <c r="BB211" s="17" t="n"/>
    </row>
    <row r="212">
      <c r="A212" s="6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7" t="n"/>
      <c r="AB212" s="283" t="n"/>
      <c r="AC212" s="38" t="n"/>
      <c r="AD212" s="38" t="n"/>
      <c r="AE212" s="38" t="n"/>
      <c r="AF212" s="38" t="n"/>
      <c r="AG212" s="283" t="n"/>
      <c r="AH212" s="283" t="n"/>
      <c r="AI212" s="283" t="n"/>
      <c r="AJ212" s="283" t="n"/>
      <c r="AK212" s="283" t="n"/>
      <c r="AL212" s="283" t="n"/>
      <c r="AM212" s="283" t="n"/>
      <c r="AN212" s="283" t="n"/>
      <c r="AO212" s="283" t="n"/>
      <c r="AY212" s="283" t="n"/>
      <c r="AZ212" s="38" t="n"/>
      <c r="BA212" s="38" t="n"/>
      <c r="BB212" s="283" t="n"/>
    </row>
    <row r="213">
      <c r="A213" s="6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7" t="n"/>
      <c r="AB213" s="283" t="n"/>
      <c r="AC213" s="38" t="n"/>
      <c r="AD213" s="38" t="n"/>
      <c r="AE213" s="38" t="n"/>
      <c r="AF213" s="38" t="n"/>
      <c r="AG213" s="283" t="n"/>
      <c r="AH213" s="283" t="n"/>
      <c r="AI213" s="283" t="n"/>
      <c r="AJ213" s="283" t="n"/>
      <c r="AK213" s="283" t="n"/>
      <c r="AL213" s="283" t="n"/>
      <c r="AM213" s="283" t="n"/>
      <c r="AN213" s="283" t="n"/>
      <c r="AO213" s="283" t="n"/>
      <c r="AY213" s="283" t="n"/>
      <c r="AZ213" s="38" t="n"/>
      <c r="BA213" s="38" t="n"/>
      <c r="BB213" s="283" t="n"/>
    </row>
    <row r="214">
      <c r="A214" s="6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7" t="n"/>
      <c r="AB214" s="283" t="n"/>
      <c r="AC214" s="38" t="n"/>
      <c r="AD214" s="38" t="n"/>
      <c r="AE214" s="38" t="n"/>
      <c r="AF214" s="38" t="n"/>
      <c r="AG214" s="283" t="n"/>
      <c r="AH214" s="283" t="n"/>
      <c r="AI214" s="283" t="n"/>
      <c r="AJ214" s="283" t="n"/>
      <c r="AK214" s="283" t="n"/>
      <c r="AL214" s="283" t="n"/>
      <c r="AM214" s="283" t="n"/>
      <c r="AN214" s="283" t="n"/>
      <c r="AO214" s="283" t="n"/>
      <c r="AY214" s="283" t="n"/>
      <c r="AZ214" s="38" t="n"/>
      <c r="BA214" s="38" t="n"/>
      <c r="BB214" s="283" t="n"/>
    </row>
    <row r="215">
      <c r="A215" s="6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7" t="n"/>
      <c r="AB215" s="283" t="n"/>
      <c r="AC215" s="38" t="n"/>
      <c r="AD215" s="38" t="n"/>
      <c r="AE215" s="38" t="n"/>
      <c r="AF215" s="38" t="n"/>
      <c r="AG215" s="283" t="n"/>
      <c r="AH215" s="283" t="n"/>
      <c r="AI215" s="283" t="n"/>
      <c r="AJ215" s="283" t="n"/>
      <c r="AK215" s="283" t="n"/>
      <c r="AL215" s="283" t="n"/>
      <c r="AM215" s="283" t="n"/>
      <c r="AN215" s="283" t="n"/>
      <c r="AO215" s="283" t="n"/>
      <c r="AY215" s="283" t="n"/>
      <c r="AZ215" s="38" t="n"/>
      <c r="BA215" s="38" t="n"/>
      <c r="BB215" s="283" t="n"/>
    </row>
    <row r="216">
      <c r="A216" s="6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7" t="n"/>
      <c r="AB216" s="283" t="n"/>
      <c r="AC216" s="38" t="n"/>
      <c r="AD216" s="38" t="n"/>
      <c r="AE216" s="38" t="n"/>
      <c r="AF216" s="38" t="n"/>
      <c r="AG216" s="283" t="n"/>
      <c r="AH216" s="283" t="n"/>
      <c r="AI216" s="283" t="n"/>
      <c r="AJ216" s="283" t="n"/>
      <c r="AK216" s="283" t="n"/>
      <c r="AL216" s="283" t="n"/>
      <c r="AM216" s="283" t="n"/>
      <c r="AN216" s="283" t="n"/>
      <c r="AO216" s="283" t="n"/>
      <c r="AY216" s="283" t="n"/>
      <c r="AZ216" s="38" t="n"/>
      <c r="BA216" s="38" t="n"/>
      <c r="BB216" s="283" t="n"/>
    </row>
    <row r="217">
      <c r="A217" s="6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7" t="n"/>
      <c r="AB217" s="283" t="n"/>
      <c r="AC217" s="38" t="n"/>
      <c r="AD217" s="38" t="n"/>
      <c r="AE217" s="38" t="n"/>
      <c r="AF217" s="38" t="n"/>
      <c r="AG217" s="283" t="n"/>
      <c r="AH217" s="283" t="n"/>
      <c r="AI217" s="283" t="n"/>
      <c r="AJ217" s="283" t="n"/>
      <c r="AK217" s="283" t="n"/>
      <c r="AL217" s="283" t="n"/>
      <c r="AM217" s="283" t="n"/>
      <c r="AN217" s="283" t="n"/>
      <c r="AO217" s="283" t="n"/>
      <c r="AY217" s="283" t="n"/>
      <c r="AZ217" s="38" t="n"/>
      <c r="BA217" s="38" t="n"/>
      <c r="BB217" s="283" t="n"/>
    </row>
    <row r="218">
      <c r="A218" s="6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7" t="n"/>
      <c r="AB218" s="283" t="n"/>
      <c r="AC218" s="38" t="n"/>
      <c r="AD218" s="38" t="n"/>
      <c r="AE218" s="38" t="n"/>
      <c r="AF218" s="38" t="n"/>
      <c r="AG218" s="283" t="n"/>
      <c r="AH218" s="283" t="n"/>
      <c r="AI218" s="283" t="n"/>
      <c r="AJ218" s="283" t="n"/>
      <c r="AK218" s="283" t="n"/>
      <c r="AL218" s="283" t="n"/>
      <c r="AM218" s="283" t="n"/>
      <c r="AN218" s="283" t="n"/>
      <c r="AO218" s="283" t="n"/>
      <c r="AY218" s="283" t="n"/>
      <c r="AZ218" s="38" t="n"/>
      <c r="BA218" s="38" t="n"/>
      <c r="BB218" s="283" t="n"/>
    </row>
    <row r="219">
      <c r="A219" s="6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7" t="n"/>
      <c r="AB219" s="283" t="n"/>
      <c r="AC219" s="38" t="n"/>
      <c r="AD219" s="38" t="n"/>
      <c r="AE219" s="38" t="n"/>
      <c r="AF219" s="38" t="n"/>
      <c r="AG219" s="283" t="n"/>
      <c r="AH219" s="283" t="n"/>
      <c r="AI219" s="283" t="n"/>
      <c r="AJ219" s="283" t="n"/>
      <c r="AK219" s="283" t="n"/>
      <c r="AL219" s="283" t="n"/>
      <c r="AM219" s="283" t="n"/>
      <c r="AN219" s="283" t="n"/>
      <c r="AO219" s="283" t="n"/>
      <c r="AY219" s="283" t="n"/>
      <c r="AZ219" s="38" t="n"/>
      <c r="BA219" s="38" t="n"/>
      <c r="BB219" s="283" t="n"/>
    </row>
    <row r="220" ht="76.5" customHeight="1" s="429">
      <c r="A220" s="6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7" t="n"/>
      <c r="AB220" s="283" t="n"/>
      <c r="AC220" s="38" t="n"/>
      <c r="AD220" s="38" t="n"/>
      <c r="AE220" s="38" t="n"/>
      <c r="AF220" s="38" t="n"/>
      <c r="AG220" s="283" t="n"/>
      <c r="AH220" s="283" t="n"/>
      <c r="AI220" s="283" t="n"/>
      <c r="AJ220" s="283" t="n"/>
      <c r="AK220" s="283" t="n"/>
      <c r="AL220" s="283" t="n"/>
      <c r="AM220" s="283" t="n"/>
      <c r="AN220" s="283" t="n"/>
      <c r="AO220" s="283" t="n"/>
      <c r="AY220" s="283" t="n"/>
      <c r="AZ220" s="38" t="n"/>
      <c r="BA220" s="38" t="n"/>
      <c r="BB220" s="283" t="n"/>
    </row>
    <row r="221" ht="7.95" customHeight="1" s="429">
      <c r="A221" s="6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7" t="n"/>
      <c r="AB221" s="283" t="n"/>
      <c r="AC221" s="38" t="n"/>
      <c r="AD221" s="38" t="n"/>
      <c r="AE221" s="38" t="n"/>
      <c r="AF221" s="38" t="n"/>
      <c r="AG221" s="283" t="n"/>
      <c r="AH221" s="283" t="n"/>
      <c r="AI221" s="283" t="n"/>
      <c r="AJ221" s="283" t="n"/>
      <c r="AK221" s="283" t="n"/>
      <c r="AL221" s="283" t="n"/>
      <c r="AM221" s="283" t="n"/>
      <c r="AN221" s="283" t="n"/>
      <c r="AO221" s="283" t="n"/>
      <c r="AY221" s="283" t="n"/>
      <c r="AZ221" s="38" t="n"/>
      <c r="BA221" s="38" t="n"/>
      <c r="BB221" s="283" t="n"/>
    </row>
    <row r="222" hidden="1" ht="9" customHeight="1" s="429">
      <c r="A222" s="6" t="n"/>
      <c r="B222" s="16" t="n"/>
      <c r="C222" s="105" t="n"/>
      <c r="D222" s="60" t="n"/>
      <c r="E222" s="60" t="n"/>
      <c r="F222" s="60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102" t="n"/>
      <c r="Z222" s="16" t="n"/>
      <c r="AA222" s="7" t="n"/>
    </row>
    <row r="223" ht="15.75" customHeight="1" s="429">
      <c r="A223" s="6" t="n"/>
      <c r="B223" s="16" t="n"/>
      <c r="C223" s="144" t="inlineStr">
        <is>
          <t>Engine Mode</t>
        </is>
      </c>
      <c r="D223" s="440" t="n"/>
      <c r="E223" s="440" t="n"/>
      <c r="F223" s="440" t="n"/>
      <c r="G223" s="440" t="n"/>
      <c r="H223" s="418" t="n"/>
      <c r="I223" s="106" t="n"/>
      <c r="J223" s="162" t="inlineStr">
        <is>
          <t>Minimum slipfactor</t>
        </is>
      </c>
      <c r="K223" s="440" t="n"/>
      <c r="L223" s="440" t="n"/>
      <c r="M223" s="442" t="n"/>
      <c r="N223" s="163" t="inlineStr">
        <is>
          <t>Mim factor pulley</t>
        </is>
      </c>
      <c r="O223" s="440" t="n"/>
      <c r="P223" s="440" t="n"/>
      <c r="Q223" s="442" t="n"/>
      <c r="R223" s="163" t="inlineStr">
        <is>
          <t>Mim factor speed</t>
        </is>
      </c>
      <c r="S223" s="440" t="n"/>
      <c r="T223" s="440" t="n"/>
      <c r="U223" s="442" t="n"/>
      <c r="V223" s="162" t="inlineStr">
        <is>
          <t>Allowable slipfactor</t>
        </is>
      </c>
      <c r="W223" s="440" t="n"/>
      <c r="X223" s="440" t="n"/>
      <c r="Y223" s="442" t="n"/>
      <c r="Z223" s="16" t="n"/>
      <c r="AA223" s="7" t="n"/>
    </row>
    <row r="224" ht="16.5" customHeight="1" s="429">
      <c r="A224" s="6" t="n"/>
      <c r="B224" s="16" t="n"/>
      <c r="C224" s="233" t="inlineStr">
        <is>
          <t>Acceleration</t>
        </is>
      </c>
      <c r="D224" s="440" t="n"/>
      <c r="E224" s="440" t="n"/>
      <c r="F224" s="145">
        <f>H195</f>
        <v/>
      </c>
      <c r="G224" s="440" t="n"/>
      <c r="H224" s="235">
        <f>J195</f>
        <v/>
      </c>
      <c r="I224" s="442" t="n"/>
      <c r="J224" s="463">
        <f>MIN([2]Analysis!AI111:AR111)</f>
        <v/>
      </c>
      <c r="K224" s="440" t="n"/>
      <c r="L224" s="440" t="n"/>
      <c r="M224" s="442" t="n"/>
      <c r="N224" s="163">
        <f>OFFSET([2]Analysis!AH110,0,MATCH($J$224,[2]Analysis!AI111:AR111,0))</f>
        <v/>
      </c>
      <c r="O224" s="440" t="n"/>
      <c r="P224" s="440" t="n"/>
      <c r="Q224" s="442" t="n"/>
      <c r="R224" s="224">
        <f>OFFSET([2]Analysis!AH112,0,MATCH($J$224,[2]Analysis!AI111:AR111,0))</f>
        <v/>
      </c>
      <c r="S224" s="440" t="n"/>
      <c r="T224" s="227" t="inlineStr">
        <is>
          <t xml:space="preserve"> [rpm]</t>
        </is>
      </c>
      <c r="U224" s="442" t="n"/>
      <c r="V224" s="454">
        <f>[2]Input!O13</f>
        <v/>
      </c>
      <c r="W224" s="440" t="n"/>
      <c r="X224" s="418" t="n"/>
      <c r="Y224" s="106" t="n"/>
      <c r="Z224" s="16" t="n"/>
      <c r="AA224" s="7" t="n"/>
    </row>
    <row r="225">
      <c r="A225" s="6" t="n"/>
      <c r="B225" s="16" t="n"/>
      <c r="C225" s="35" t="inlineStr">
        <is>
          <t>Steady state</t>
        </is>
      </c>
      <c r="D225" s="418" t="n"/>
      <c r="E225" s="418" t="n"/>
      <c r="F225" s="418" t="n"/>
      <c r="G225" s="418" t="n"/>
      <c r="H225" s="418" t="n"/>
      <c r="I225" s="106" t="n"/>
      <c r="J225" s="463">
        <f>MIN([2]Analysis!AI115:AR115)</f>
        <v/>
      </c>
      <c r="K225" s="440" t="n"/>
      <c r="L225" s="440" t="n"/>
      <c r="M225" s="442" t="n"/>
      <c r="N225" s="163">
        <f>OFFSET([2]Analysis!AH114,0,MATCH($J$225,[2]Analysis!AI115:AR115,0))</f>
        <v/>
      </c>
      <c r="O225" s="440" t="n"/>
      <c r="P225" s="440" t="n"/>
      <c r="Q225" s="442" t="n"/>
      <c r="R225" s="224">
        <f>OFFSET([2]Analysis!AH112,0,MATCH($J$225,[2]Analysis!AI115:AR115,0))</f>
        <v/>
      </c>
      <c r="S225" s="440" t="n"/>
      <c r="T225" s="227" t="inlineStr">
        <is>
          <t xml:space="preserve"> [rpm]</t>
        </is>
      </c>
      <c r="U225" s="442" t="n"/>
      <c r="V225" s="454">
        <f>[2]Input!Q13</f>
        <v/>
      </c>
      <c r="W225" s="440" t="n"/>
      <c r="X225" s="418" t="n"/>
      <c r="Y225" s="106" t="n"/>
      <c r="Z225" s="16" t="n"/>
      <c r="AA225" s="7" t="n"/>
    </row>
    <row r="226" ht="17.25" customHeight="1" s="429">
      <c r="A226" s="6" t="n"/>
      <c r="B226" s="16" t="n"/>
      <c r="C226" s="526" t="inlineStr">
        <is>
          <t>Tension Ratio: Tt / Ts &lt; or = to Kr, Equals minimum safety slip factor: &gt; or = to 1.00.For belt no slip.</t>
        </is>
      </c>
      <c r="D226" s="440" t="n"/>
      <c r="E226" s="440" t="n"/>
      <c r="F226" s="440" t="n"/>
      <c r="G226" s="440" t="n"/>
      <c r="H226" s="440" t="n"/>
      <c r="I226" s="440" t="n"/>
      <c r="J226" s="440" t="n"/>
      <c r="K226" s="440" t="n"/>
      <c r="L226" s="440" t="n"/>
      <c r="M226" s="440" t="n"/>
      <c r="N226" s="440" t="n"/>
      <c r="O226" s="440" t="n"/>
      <c r="P226" s="440" t="n"/>
      <c r="Q226" s="440" t="n"/>
      <c r="R226" s="440" t="n"/>
      <c r="S226" s="440" t="n"/>
      <c r="T226" s="440" t="n"/>
      <c r="U226" s="440" t="n"/>
      <c r="V226" s="440" t="n"/>
      <c r="W226" s="440" t="n"/>
      <c r="X226" s="440" t="n"/>
      <c r="Y226" s="442" t="n"/>
      <c r="Z226" s="16" t="n"/>
      <c r="AA226" s="7" t="n"/>
    </row>
    <row r="227" ht="17.25" customHeight="1" s="429">
      <c r="A227" s="6" t="n"/>
      <c r="B227" s="16" t="n"/>
      <c r="C227" s="236" t="inlineStr">
        <is>
          <t>Note: ①Tt:Tight side tension; ②Ts:Slack side tension; ③Kr=eμα.</t>
        </is>
      </c>
      <c r="D227" s="440" t="n"/>
      <c r="E227" s="440" t="n"/>
      <c r="F227" s="440" t="n"/>
      <c r="G227" s="440" t="n"/>
      <c r="H227" s="440" t="n"/>
      <c r="I227" s="440" t="n"/>
      <c r="J227" s="440" t="n"/>
      <c r="K227" s="440" t="n"/>
      <c r="L227" s="440" t="n"/>
      <c r="M227" s="440" t="n"/>
      <c r="N227" s="440" t="n"/>
      <c r="O227" s="440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56" t="n"/>
      <c r="Z227" s="16" t="n"/>
      <c r="AA227" s="7" t="n"/>
    </row>
    <row r="228" ht="1.5" customHeight="1" s="429">
      <c r="A228" s="6" t="n"/>
      <c r="B228" s="16" t="n"/>
      <c r="C228" s="109" t="n"/>
      <c r="D228" s="109" t="n"/>
      <c r="E228" s="109" t="n"/>
      <c r="F228" s="109" t="n"/>
      <c r="G228" s="109" t="n"/>
      <c r="H228" s="109" t="n"/>
      <c r="I228" s="109" t="n"/>
      <c r="J228" s="109" t="n"/>
      <c r="K228" s="109" t="n"/>
      <c r="L228" s="109" t="n"/>
      <c r="M228" s="109" t="n"/>
      <c r="N228" s="109" t="n"/>
      <c r="O228" s="109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16" t="n"/>
      <c r="AA228" s="7" t="n"/>
    </row>
    <row r="229" ht="1.5" customHeight="1" s="429">
      <c r="A229" s="6" t="n"/>
      <c r="B229" s="16" t="n"/>
      <c r="C229" s="527" t="n"/>
      <c r="D229" s="36" t="n"/>
      <c r="E229" s="36" t="n"/>
      <c r="F229" s="528" t="n"/>
      <c r="G229" s="528" t="n"/>
      <c r="H229" s="36" t="n"/>
      <c r="I229" s="36" t="n"/>
      <c r="J229" s="36" t="n"/>
      <c r="K229" s="527" t="n"/>
      <c r="L229" s="527" t="n"/>
      <c r="M229" s="527" t="n"/>
      <c r="N229" s="529" t="n"/>
      <c r="P229" s="169" t="n"/>
      <c r="R229" s="36" t="n"/>
      <c r="S229" s="36" t="n"/>
      <c r="T229" s="36" t="n"/>
      <c r="U229" s="36" t="n"/>
      <c r="V229" s="529" t="n"/>
      <c r="X229" s="169" t="n"/>
      <c r="Z229" s="16" t="n"/>
      <c r="AA229" s="7" t="n"/>
    </row>
    <row r="230" ht="9" customHeight="1" s="429">
      <c r="A230" s="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Z230" s="17" t="n"/>
      <c r="BA230" s="17" t="n"/>
      <c r="BB230" s="17" t="n"/>
    </row>
    <row r="231" ht="20.25" customHeight="1" s="429">
      <c r="A231" s="6" t="n"/>
      <c r="B231" s="16" t="n"/>
      <c r="C231" s="165" t="inlineStr">
        <is>
          <t xml:space="preserve">Pulley Mean Hubload [N] and Direction [deg] for bearing B10(Results) </t>
        </is>
      </c>
      <c r="Z231" s="16" t="n"/>
      <c r="AA231" s="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Z231" s="17" t="n"/>
      <c r="BA231" s="17" t="n"/>
      <c r="BB231" s="17" t="n"/>
    </row>
    <row r="232" ht="3" customHeight="1" s="429">
      <c r="A232" s="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7" t="n"/>
    </row>
    <row r="233">
      <c r="A233" s="6" t="n"/>
      <c r="B233" s="112">
        <f>B173</f>
        <v/>
      </c>
      <c r="C233" s="222">
        <f>C173</f>
        <v/>
      </c>
      <c r="D233" s="442" t="n"/>
      <c r="E233" s="222">
        <f>[2]Analysis!T3</f>
        <v/>
      </c>
      <c r="F233" s="442" t="n"/>
      <c r="G233" s="222">
        <f>CONCATENATE(H173,"/Dire.")</f>
        <v/>
      </c>
      <c r="H233" s="442" t="n"/>
      <c r="I233" s="222">
        <f>CONCATENATE(I173,"/Dire.")</f>
        <v/>
      </c>
      <c r="J233" s="442" t="n"/>
      <c r="K233" s="222">
        <f>CONCATENATE(J173,"/Dire.")</f>
        <v/>
      </c>
      <c r="L233" s="442" t="n"/>
      <c r="M233" s="222">
        <f>CONCATENATE(K173,"/Dire.")</f>
        <v/>
      </c>
      <c r="N233" s="442" t="n"/>
      <c r="O233" s="222">
        <f>CONCATENATE(L173,"/Dire.")</f>
        <v/>
      </c>
      <c r="P233" s="442" t="n"/>
      <c r="Q233" s="222">
        <f>CONCATENATE(M173,"/Dire.")</f>
        <v/>
      </c>
      <c r="R233" s="442" t="n"/>
      <c r="S233" s="222">
        <f>CONCATENATE(N173,"/Dire.")</f>
        <v/>
      </c>
      <c r="T233" s="442" t="n"/>
      <c r="U233" s="222">
        <f>CONCATENATE(O173,"/Dire.")</f>
        <v/>
      </c>
      <c r="V233" s="442" t="n"/>
      <c r="W233" s="222">
        <f>CONCATENATE(P173,"/Dire.")</f>
        <v/>
      </c>
      <c r="X233" s="442" t="n"/>
      <c r="Y233" s="222">
        <f>CONCATENATE(Q173,"/Dire.")</f>
        <v/>
      </c>
      <c r="Z233" s="442" t="n"/>
      <c r="AA233" s="7" t="n"/>
    </row>
    <row r="234">
      <c r="A234" s="6" t="n"/>
      <c r="B234" s="204">
        <f>IF([2]Analysis!B4=0," ",[2]Analysis!B4)</f>
        <v/>
      </c>
      <c r="C234" s="202">
        <f>IF([2]Analysis!B4=0," ",[2]Analysis!S4)</f>
        <v/>
      </c>
      <c r="D234" s="442" t="n"/>
      <c r="E234" s="530">
        <f>IF([2]Analysis!B4=0," ",[2]Analysis!T4)</f>
        <v/>
      </c>
      <c r="F234" s="442" t="n"/>
      <c r="G234" s="202">
        <f>IF([2]Analysis!B4=0," ",CONCATENATE(ROUND([2]Analysis!U4,0),"/",ROUND([2]Analysis!F130,1)))</f>
        <v/>
      </c>
      <c r="H234" s="442" t="n"/>
      <c r="I234" s="202">
        <f>IF([2]Analysis!B4=0," ",IF($I$173="NA"," ",CONCATENATE(ROUND([2]Analysis!V4,0),"/",ROUND([2]Analysis!G130,1))))</f>
        <v/>
      </c>
      <c r="J234" s="442" t="n"/>
      <c r="K234" s="202">
        <f>IF([2]Analysis!B4=0," ",IF($J$173="NA"," ",CONCATENATE(ROUND([2]Analysis!W4,0),"/",ROUND([2]Analysis!H130,1))))</f>
        <v/>
      </c>
      <c r="L234" s="442" t="n"/>
      <c r="M234" s="202">
        <f>IF([2]Analysis!B4=0," ",IF($K$173="NA"," ",CONCATENATE(ROUND([2]Analysis!X4,0),"/",ROUND([2]Analysis!I130,1))))</f>
        <v/>
      </c>
      <c r="N234" s="442" t="n"/>
      <c r="O234" s="202">
        <f>IF([2]Analysis!B4=0," ",IF($L$173="NA"," ",CONCATENATE(ROUND([2]Analysis!Y4,0),"/",ROUND([2]Analysis!J130,1))))</f>
        <v/>
      </c>
      <c r="P234" s="442" t="n"/>
      <c r="Q234" s="202">
        <f>IF([2]Analysis!B4=0," ",IF($M$173="NA"," ",CONCATENATE(ROUND([2]Analysis!Z4,0),"/",ROUND([2]Analysis!K130,1))))</f>
        <v/>
      </c>
      <c r="R234" s="442" t="n"/>
      <c r="S234" s="202">
        <f>IF([2]Analysis!B4=0," ",IF($N$173="NA"," ",CONCATENATE(ROUND([2]Analysis!AA4,0),"/",ROUND([2]Analysis!L130,1))))</f>
        <v/>
      </c>
      <c r="T234" s="442" t="n"/>
      <c r="U234" s="202">
        <f>IF([2]Analysis!B4=0," ",IF($O$173="NA"," ",CONCATENATE(ROUND([2]Analysis!AB4,0),"/",ROUND([2]Analysis!M130,1))))</f>
        <v/>
      </c>
      <c r="V234" s="442" t="n"/>
      <c r="W234" s="531">
        <f>IF([2]Analysis!B4=0," ",IF($P$173="NA"," ",CONCATENATE(ROUND([2]Analysis!AC4,0),"/",ROUND([2]Analysis!N130,1))))</f>
        <v/>
      </c>
      <c r="X234" s="442" t="n"/>
      <c r="Y234" s="202">
        <f>IF([2]Analysis!B4=0," ",IF($Q$173="NA"," ",CONCATENATE(ROUND([2]Analysis!AD4,0),"/",ROUND([2]Analysis!O130,1))))</f>
        <v/>
      </c>
      <c r="Z234" s="442" t="n"/>
      <c r="AA234" s="7" t="n"/>
    </row>
    <row r="235">
      <c r="A235" s="6" t="n"/>
      <c r="B235" s="204">
        <f>IF([2]Analysis!B5=0," ",[2]Analysis!B5)</f>
        <v/>
      </c>
      <c r="C235" s="202">
        <f>IF([2]Analysis!B5=0," ",[2]Analysis!S5)</f>
        <v/>
      </c>
      <c r="D235" s="442" t="n"/>
      <c r="E235" s="530">
        <f>IF([2]Analysis!B5=0," ",[2]Analysis!T5)</f>
        <v/>
      </c>
      <c r="F235" s="442" t="n"/>
      <c r="G235" s="202">
        <f>IF([2]Analysis!B5=0," ",CONCATENATE(ROUND([2]Analysis!U5,0),"/",ROUND([2]Analysis!F131,1)))</f>
        <v/>
      </c>
      <c r="H235" s="442" t="n"/>
      <c r="I235" s="202">
        <f>IF([2]Analysis!B5=0," ",IF($I$173="NA"," ",CONCATENATE(ROUND([2]Analysis!V5,0),"/",ROUND([2]Analysis!G131,1))))</f>
        <v/>
      </c>
      <c r="J235" s="442" t="n"/>
      <c r="K235" s="202">
        <f>IF([2]Analysis!B5=0," ",IF($J$173="NA"," ",CONCATENATE(ROUND([2]Analysis!W5,0),"/",ROUND([2]Analysis!H131,1))))</f>
        <v/>
      </c>
      <c r="L235" s="442" t="n"/>
      <c r="M235" s="202">
        <f>IF([2]Analysis!B5=0," ",IF($K$173="NA"," ",CONCATENATE(ROUND([2]Analysis!X5,0),"/",ROUND([2]Analysis!I131,1))))</f>
        <v/>
      </c>
      <c r="N235" s="442" t="n"/>
      <c r="O235" s="202">
        <f>IF([2]Analysis!B5=0," ",IF($L$173="NA"," ",CONCATENATE(ROUND([2]Analysis!Y5,0),"/",ROUND([2]Analysis!J131,1))))</f>
        <v/>
      </c>
      <c r="P235" s="442" t="n"/>
      <c r="Q235" s="202">
        <f>IF([2]Analysis!B5=0," ",IF($M$173="NA"," ",CONCATENATE(ROUND([2]Analysis!Z5,0),"/",ROUND([2]Analysis!K131,1))))</f>
        <v/>
      </c>
      <c r="R235" s="442" t="n"/>
      <c r="S235" s="202">
        <f>IF([2]Analysis!B5=0," ",IF($N$173="NA"," ",CONCATENATE(ROUND([2]Analysis!AA5,0),"/",ROUND([2]Analysis!L131,1))))</f>
        <v/>
      </c>
      <c r="T235" s="442" t="n"/>
      <c r="U235" s="202">
        <f>IF([2]Analysis!B5=0," ",IF($O$173="NA"," ",CONCATENATE(ROUND([2]Analysis!AB5,0),"/",ROUND([2]Analysis!M131,1))))</f>
        <v/>
      </c>
      <c r="V235" s="442" t="n"/>
      <c r="W235" s="531">
        <f>IF([2]Analysis!B5=0," ",IF($P$173="NA"," ",CONCATENATE(ROUND([2]Analysis!AC5,0),"/",ROUND([2]Analysis!N131,1))))</f>
        <v/>
      </c>
      <c r="X235" s="442" t="n"/>
      <c r="Y235" s="202">
        <f>IF([2]Analysis!B5=0," ",IF($Q$173="NA"," ",CONCATENATE(ROUND([2]Analysis!AD5,0),"/",ROUND([2]Analysis!O131,1))))</f>
        <v/>
      </c>
      <c r="Z235" s="442" t="n"/>
      <c r="AA235" s="7" t="n"/>
    </row>
    <row r="236">
      <c r="A236" s="6" t="n"/>
      <c r="B236" s="204">
        <f>IF([2]Analysis!B6=0," ",[2]Analysis!B6)</f>
        <v/>
      </c>
      <c r="C236" s="202">
        <f>IF([2]Analysis!B6=0," ",[2]Analysis!S6)</f>
        <v/>
      </c>
      <c r="D236" s="442" t="n"/>
      <c r="E236" s="530">
        <f>IF([2]Analysis!B6=0," ",[2]Analysis!T6)</f>
        <v/>
      </c>
      <c r="F236" s="442" t="n"/>
      <c r="G236" s="202">
        <f>IF([2]Analysis!B6=0," ",CONCATENATE(ROUND([2]Analysis!U6,0),"/",ROUND([2]Analysis!F132,1)))</f>
        <v/>
      </c>
      <c r="H236" s="442" t="n"/>
      <c r="I236" s="202">
        <f>IF([2]Analysis!B6=0," ",IF($I$173="NA"," ",CONCATENATE(ROUND([2]Analysis!V6,0),"/",ROUND([2]Analysis!G132,1))))</f>
        <v/>
      </c>
      <c r="J236" s="442" t="n"/>
      <c r="K236" s="202">
        <f>IF([2]Analysis!B6=0," ",IF($J$173="NA"," ",CONCATENATE(ROUND([2]Analysis!W6,0),"/",ROUND([2]Analysis!H132,1))))</f>
        <v/>
      </c>
      <c r="L236" s="442" t="n"/>
      <c r="M236" s="202">
        <f>IF([2]Analysis!B6=0," ",IF($K$173="NA"," ",CONCATENATE(ROUND([2]Analysis!X6,0),"/",ROUND([2]Analysis!I132,1))))</f>
        <v/>
      </c>
      <c r="N236" s="442" t="n"/>
      <c r="O236" s="202">
        <f>IF([2]Analysis!B6=0," ",IF($L$173="NA"," ",CONCATENATE(ROUND([2]Analysis!Y6,0),"/",ROUND([2]Analysis!J132,1))))</f>
        <v/>
      </c>
      <c r="P236" s="442" t="n"/>
      <c r="Q236" s="202">
        <f>IF([2]Analysis!B6=0," ",IF($M$173="NA"," ",CONCATENATE(ROUND([2]Analysis!Z6,0),"/",ROUND([2]Analysis!K132,1))))</f>
        <v/>
      </c>
      <c r="R236" s="442" t="n"/>
      <c r="S236" s="202">
        <f>IF([2]Analysis!B6=0," ",IF($N$173="NA"," ",CONCATENATE(ROUND([2]Analysis!AA6,0),"/",ROUND([2]Analysis!L132,1))))</f>
        <v/>
      </c>
      <c r="T236" s="442" t="n"/>
      <c r="U236" s="202">
        <f>IF([2]Analysis!B6=0," ",IF($O$173="NA"," ",CONCATENATE(ROUND([2]Analysis!AB6,0),"/",ROUND([2]Analysis!M132,1))))</f>
        <v/>
      </c>
      <c r="V236" s="442" t="n"/>
      <c r="W236" s="531">
        <f>IF([2]Analysis!B6=0," ",IF($P$173="NA"," ",CONCATENATE(ROUND([2]Analysis!AC6,0),"/",ROUND([2]Analysis!N132,1))))</f>
        <v/>
      </c>
      <c r="X236" s="442" t="n"/>
      <c r="Y236" s="202">
        <f>IF([2]Analysis!B6=0," ",IF($Q$173="NA"," ",CONCATENATE(ROUND([2]Analysis!AD6,0),"/",ROUND([2]Analysis!O132,1))))</f>
        <v/>
      </c>
      <c r="Z236" s="442" t="n"/>
      <c r="AA236" s="7" t="n"/>
    </row>
    <row r="237">
      <c r="A237" s="6" t="n"/>
      <c r="B237" s="204">
        <f>IF([2]Analysis!B7=0," ",[2]Analysis!B7)</f>
        <v/>
      </c>
      <c r="C237" s="202">
        <f>IF([2]Analysis!B7=0," ",[2]Analysis!S7)</f>
        <v/>
      </c>
      <c r="D237" s="442" t="n"/>
      <c r="E237" s="530">
        <f>IF([2]Analysis!B7=0," ",[2]Analysis!T7)</f>
        <v/>
      </c>
      <c r="F237" s="442" t="n"/>
      <c r="G237" s="202">
        <f>IF([2]Analysis!B7=0," ",CONCATENATE(ROUND([2]Analysis!U7,0),"/",ROUND([2]Analysis!F133,1)))</f>
        <v/>
      </c>
      <c r="H237" s="442" t="n"/>
      <c r="I237" s="202">
        <f>IF([2]Analysis!B7=0," ",IF($I$173="NA"," ",CONCATENATE(ROUND([2]Analysis!V7,0),"/",ROUND([2]Analysis!G133,1))))</f>
        <v/>
      </c>
      <c r="J237" s="442" t="n"/>
      <c r="K237" s="202">
        <f>IF([2]Analysis!B7=0," ",IF($J$173="NA"," ",CONCATENATE(ROUND([2]Analysis!W7,0),"/",ROUND([2]Analysis!H133,1))))</f>
        <v/>
      </c>
      <c r="L237" s="442" t="n"/>
      <c r="M237" s="202">
        <f>IF([2]Analysis!B7=0," ",IF($K$173="NA"," ",CONCATENATE(ROUND([2]Analysis!X7,0),"/",ROUND([2]Analysis!I133,1))))</f>
        <v/>
      </c>
      <c r="N237" s="442" t="n"/>
      <c r="O237" s="202">
        <f>IF([2]Analysis!B7=0," ",IF($L$173="NA"," ",CONCATENATE(ROUND([2]Analysis!Y7,0),"/",ROUND([2]Analysis!J133,1))))</f>
        <v/>
      </c>
      <c r="P237" s="442" t="n"/>
      <c r="Q237" s="202">
        <f>IF([2]Analysis!B7=0," ",IF($M$173="NA"," ",CONCATENATE(ROUND([2]Analysis!Z7,0),"/",ROUND([2]Analysis!K133,1))))</f>
        <v/>
      </c>
      <c r="R237" s="442" t="n"/>
      <c r="S237" s="202">
        <f>IF([2]Analysis!B7=0," ",IF($N$173="NA"," ",CONCATENATE(ROUND([2]Analysis!AA7,0),"/",ROUND([2]Analysis!L133,1))))</f>
        <v/>
      </c>
      <c r="T237" s="442" t="n"/>
      <c r="U237" s="202">
        <f>IF([2]Analysis!B7=0," ",IF($O$173="NA"," ",CONCATENATE(ROUND([2]Analysis!AB7,0),"/",ROUND([2]Analysis!M133,1))))</f>
        <v/>
      </c>
      <c r="V237" s="442" t="n"/>
      <c r="W237" s="531">
        <f>IF([2]Analysis!B7=0," ",IF($P$173="NA"," ",CONCATENATE(ROUND([2]Analysis!AC7,0),"/",ROUND([2]Analysis!N133,1))))</f>
        <v/>
      </c>
      <c r="X237" s="442" t="n"/>
      <c r="Y237" s="202">
        <f>IF([2]Analysis!B7=0," ",IF($Q$173="NA"," ",CONCATENATE(ROUND([2]Analysis!AD7,0),"/",ROUND([2]Analysis!O133,1))))</f>
        <v/>
      </c>
      <c r="Z237" s="442" t="n"/>
      <c r="AA237" s="7" t="n"/>
    </row>
    <row r="238">
      <c r="A238" s="6" t="n"/>
      <c r="B238" s="204">
        <f>IF([2]Analysis!B8=0," ",[2]Analysis!B8)</f>
        <v/>
      </c>
      <c r="C238" s="202">
        <f>IF([2]Analysis!B8=0," ",[2]Analysis!S8)</f>
        <v/>
      </c>
      <c r="D238" s="442" t="n"/>
      <c r="E238" s="530">
        <f>IF([2]Analysis!B8=0," ",[2]Analysis!T8)</f>
        <v/>
      </c>
      <c r="F238" s="442" t="n"/>
      <c r="G238" s="202">
        <f>IF([2]Analysis!B8=0," ",CONCATENATE(ROUND([2]Analysis!U8,0),"/",ROUND([2]Analysis!F134,1)))</f>
        <v/>
      </c>
      <c r="H238" s="442" t="n"/>
      <c r="I238" s="202">
        <f>IF([2]Analysis!B8=0," ",IF($I$173="NA"," ",CONCATENATE(ROUND([2]Analysis!V8,0),"/",ROUND([2]Analysis!G134,1))))</f>
        <v/>
      </c>
      <c r="J238" s="442" t="n"/>
      <c r="K238" s="202">
        <f>IF([2]Analysis!B8=0," ",IF($J$173="NA"," ",CONCATENATE(ROUND([2]Analysis!W8,0),"/",ROUND([2]Analysis!H134,1))))</f>
        <v/>
      </c>
      <c r="L238" s="442" t="n"/>
      <c r="M238" s="202">
        <f>IF([2]Analysis!B8=0," ",IF($K$173="NA"," ",CONCATENATE(ROUND([2]Analysis!X8,0),"/",ROUND([2]Analysis!I134,1))))</f>
        <v/>
      </c>
      <c r="N238" s="442" t="n"/>
      <c r="O238" s="202">
        <f>IF([2]Analysis!B8=0," ",IF($L$173="NA"," ",CONCATENATE(ROUND([2]Analysis!Y8,0),"/",ROUND([2]Analysis!J134,1))))</f>
        <v/>
      </c>
      <c r="P238" s="442" t="n"/>
      <c r="Q238" s="202">
        <f>IF([2]Analysis!B8=0," ",IF($M$173="NA"," ",CONCATENATE(ROUND([2]Analysis!Z8,0),"/",ROUND([2]Analysis!K134,1))))</f>
        <v/>
      </c>
      <c r="R238" s="442" t="n"/>
      <c r="S238" s="202">
        <f>IF([2]Analysis!B8=0," ",IF($N$173="NA"," ",CONCATENATE(ROUND([2]Analysis!AA8,0),"/",ROUND([2]Analysis!L134,1))))</f>
        <v/>
      </c>
      <c r="T238" s="442" t="n"/>
      <c r="U238" s="202">
        <f>IF([2]Analysis!B8=0," ",IF($O$173="NA"," ",CONCATENATE(ROUND([2]Analysis!AB8,0),"/",ROUND([2]Analysis!M134,1))))</f>
        <v/>
      </c>
      <c r="V238" s="442" t="n"/>
      <c r="W238" s="531">
        <f>IF([2]Analysis!B8=0," ",IF($P$173="NA"," ",CONCATENATE(ROUND([2]Analysis!AC8,0),"/",ROUND([2]Analysis!N134,1))))</f>
        <v/>
      </c>
      <c r="X238" s="442" t="n"/>
      <c r="Y238" s="202">
        <f>IF([2]Analysis!B8=0," ",IF($Q$173="NA"," ",CONCATENATE(ROUND([2]Analysis!AD8,0),"/",ROUND([2]Analysis!O134,1))))</f>
        <v/>
      </c>
      <c r="Z238" s="442" t="n"/>
      <c r="AA238" s="7" t="n"/>
    </row>
    <row r="239">
      <c r="A239" s="6" t="n"/>
      <c r="B239" s="204">
        <f>IF([2]Analysis!B9=0," ",[2]Analysis!B9)</f>
        <v/>
      </c>
      <c r="C239" s="202">
        <f>IF([2]Analysis!B9=0," ",[2]Analysis!S9)</f>
        <v/>
      </c>
      <c r="D239" s="442" t="n"/>
      <c r="E239" s="530">
        <f>IF([2]Analysis!B9=0," ",[2]Analysis!T9)</f>
        <v/>
      </c>
      <c r="F239" s="442" t="n"/>
      <c r="G239" s="202">
        <f>IF([2]Analysis!B9=0," ",CONCATENATE(ROUND([2]Analysis!U9,0),"/",ROUND([2]Analysis!F135,1)))</f>
        <v/>
      </c>
      <c r="H239" s="442" t="n"/>
      <c r="I239" s="202">
        <f>IF([2]Analysis!B9=0," ",IF($I$173="NA"," ",CONCATENATE(ROUND([2]Analysis!V9,0),"/",ROUND([2]Analysis!G135,1))))</f>
        <v/>
      </c>
      <c r="J239" s="442" t="n"/>
      <c r="K239" s="202">
        <f>IF([2]Analysis!B9=0," ",IF($J$173="NA"," ",CONCATENATE(ROUND([2]Analysis!W9,0),"/",ROUND([2]Analysis!H135,1))))</f>
        <v/>
      </c>
      <c r="L239" s="442" t="n"/>
      <c r="M239" s="202">
        <f>IF([2]Analysis!B9=0," ",IF($K$173="NA"," ",CONCATENATE(ROUND([2]Analysis!X9,0),"/",ROUND([2]Analysis!I135,1))))</f>
        <v/>
      </c>
      <c r="N239" s="442" t="n"/>
      <c r="O239" s="202">
        <f>IF([2]Analysis!B9=0," ",IF($L$173="NA"," ",CONCATENATE(ROUND([2]Analysis!Y9,0),"/",ROUND([2]Analysis!J135,1))))</f>
        <v/>
      </c>
      <c r="P239" s="442" t="n"/>
      <c r="Q239" s="202">
        <f>IF([2]Analysis!B9=0," ",IF($M$173="NA"," ",CONCATENATE(ROUND([2]Analysis!Z9,0),"/",ROUND([2]Analysis!K135,1))))</f>
        <v/>
      </c>
      <c r="R239" s="442" t="n"/>
      <c r="S239" s="202">
        <f>IF([2]Analysis!B9=0," ",IF($N$173="NA"," ",CONCATENATE(ROUND([2]Analysis!AA9,0),"/",ROUND([2]Analysis!L135,1))))</f>
        <v/>
      </c>
      <c r="T239" s="442" t="n"/>
      <c r="U239" s="202">
        <f>IF([2]Analysis!B9=0," ",IF($O$173="NA"," ",CONCATENATE(ROUND([2]Analysis!AB9,0),"/",ROUND([2]Analysis!M135,1))))</f>
        <v/>
      </c>
      <c r="V239" s="442" t="n"/>
      <c r="W239" s="531">
        <f>IF([2]Analysis!B9=0," ",IF($P$173="NA"," ",CONCATENATE(ROUND([2]Analysis!AC9,0),"/",ROUND([2]Analysis!N135,1))))</f>
        <v/>
      </c>
      <c r="X239" s="442" t="n"/>
      <c r="Y239" s="202">
        <f>IF([2]Analysis!B9=0," ",IF($Q$173="NA"," ",CONCATENATE(ROUND([2]Analysis!AD9,0),"/",ROUND([2]Analysis!O135,1))))</f>
        <v/>
      </c>
      <c r="Z239" s="442" t="n"/>
      <c r="AA239" s="7" t="n"/>
    </row>
    <row r="240">
      <c r="A240" s="6" t="n"/>
      <c r="B240" s="114">
        <f>IF([2]Analysis!B10=0," ",[2]Analysis!B10)</f>
        <v/>
      </c>
      <c r="C240" s="202">
        <f>IF([2]Analysis!B10=0," ",[2]Analysis!S10)</f>
        <v/>
      </c>
      <c r="D240" s="442" t="n"/>
      <c r="E240" s="530">
        <f>IF([2]Analysis!B10=0," ",[2]Analysis!T10)</f>
        <v/>
      </c>
      <c r="F240" s="442" t="n"/>
      <c r="G240" s="202">
        <f>IF([2]Analysis!B10=0," ",CONCATENATE(ROUND([2]Analysis!U10,0),"/",ROUND([2]Analysis!F136,1)))</f>
        <v/>
      </c>
      <c r="H240" s="442" t="n"/>
      <c r="I240" s="202">
        <f>IF([2]Analysis!B10=0," ",IF($I$173="NA"," ",CONCATENATE(ROUND([2]Analysis!V10,0),"/",ROUND([2]Analysis!G136,1))))</f>
        <v/>
      </c>
      <c r="J240" s="442" t="n"/>
      <c r="K240" s="202">
        <f>IF([2]Analysis!B10=0," ",IF($J$173="NA"," ",CONCATENATE(ROUND([2]Analysis!W10,0),"/",ROUND([2]Analysis!H136,1))))</f>
        <v/>
      </c>
      <c r="L240" s="442" t="n"/>
      <c r="M240" s="202">
        <f>IF([2]Analysis!B10=0," ",IF($K$173="NA"," ",CONCATENATE(ROUND([2]Analysis!X10,0),"/",ROUND([2]Analysis!I136,1))))</f>
        <v/>
      </c>
      <c r="N240" s="442" t="n"/>
      <c r="O240" s="202">
        <f>IF([2]Analysis!B10=0," ",IF($L$173="NA"," ",CONCATENATE(ROUND([2]Analysis!Y10,0),"/",ROUND([2]Analysis!J136,1))))</f>
        <v/>
      </c>
      <c r="P240" s="442" t="n"/>
      <c r="Q240" s="202">
        <f>IF([2]Analysis!B10=0," ",IF($M$173="NA"," ",CONCATENATE(ROUND([2]Analysis!Z10,0),"/",ROUND([2]Analysis!K136,1))))</f>
        <v/>
      </c>
      <c r="R240" s="442" t="n"/>
      <c r="S240" s="202">
        <f>IF([2]Analysis!B10=0," ",IF($N$173="NA"," ",CONCATENATE(ROUND([2]Analysis!AA10,0),"/",ROUND([2]Analysis!L136,1))))</f>
        <v/>
      </c>
      <c r="T240" s="442" t="n"/>
      <c r="U240" s="202">
        <f>IF([2]Analysis!B10=0," ",IF($O$173="NA"," ",CONCATENATE(ROUND([2]Analysis!AB10,0),"/",ROUND([2]Analysis!M136,1))))</f>
        <v/>
      </c>
      <c r="V240" s="442" t="n"/>
      <c r="W240" s="531">
        <f>IF([2]Analysis!B10=0," ",IF($P$173="NA"," ",CONCATENATE(ROUND([2]Analysis!AC10,0),"/",ROUND([2]Analysis!N136,1))))</f>
        <v/>
      </c>
      <c r="X240" s="442" t="n"/>
      <c r="Y240" s="202">
        <f>IF([2]Analysis!B10=0," ",IF($Q$173="NA"," ",CONCATENATE(ROUND([2]Analysis!AD10,0),"/",ROUND([2]Analysis!O136,1))))</f>
        <v/>
      </c>
      <c r="Z240" s="442" t="n"/>
      <c r="AA240" s="7" t="n"/>
    </row>
    <row r="241">
      <c r="A241" s="6" t="n"/>
      <c r="B241" s="114">
        <f>IF([2]Analysis!B11=0," ",[2]Analysis!B11)</f>
        <v/>
      </c>
      <c r="C241" s="202">
        <f>IF([2]Analysis!B11=0," ",[2]Analysis!S11)</f>
        <v/>
      </c>
      <c r="D241" s="442" t="n"/>
      <c r="E241" s="530">
        <f>IF([2]Analysis!B11=0," ",[2]Analysis!T11)</f>
        <v/>
      </c>
      <c r="F241" s="442" t="n"/>
      <c r="G241" s="202">
        <f>IF([2]Analysis!B11=0," ",CONCATENATE(ROUND([2]Analysis!U11,0),"/",ROUND([2]Analysis!F137,1)))</f>
        <v/>
      </c>
      <c r="H241" s="442" t="n"/>
      <c r="I241" s="202">
        <f>IF([2]Analysis!B11=0," ",IF($I$173="NA"," ",CONCATENATE(ROUND([2]Analysis!V11,0),"/",ROUND([2]Analysis!G137,1))))</f>
        <v/>
      </c>
      <c r="J241" s="442" t="n"/>
      <c r="K241" s="202">
        <f>IF([2]Analysis!B11=0," ",IF($J$173="NA"," ",CONCATENATE(ROUND([2]Analysis!W11,0),"/",ROUND([2]Analysis!H137,1))))</f>
        <v/>
      </c>
      <c r="L241" s="442" t="n"/>
      <c r="M241" s="202">
        <f>IF([2]Analysis!B11=0," ",IF($K$173="NA"," ",CONCATENATE(ROUND([2]Analysis!X11,0),"/",ROUND([2]Analysis!I137,1))))</f>
        <v/>
      </c>
      <c r="N241" s="442" t="n"/>
      <c r="O241" s="202">
        <f>IF([2]Analysis!B11=0," ",IF($L$173="NA"," ",CONCATENATE(ROUND([2]Analysis!Y11,0),"/",ROUND([2]Analysis!J137,1))))</f>
        <v/>
      </c>
      <c r="P241" s="442" t="n"/>
      <c r="Q241" s="202">
        <f>IF([2]Analysis!B11=0," ",IF($M$173="NA"," ",CONCATENATE(ROUND([2]Analysis!Z11,0),"/",ROUND([2]Analysis!K137,1))))</f>
        <v/>
      </c>
      <c r="R241" s="442" t="n"/>
      <c r="S241" s="202">
        <f>IF([2]Analysis!B11=0," ",IF($N$173="NA"," ",CONCATENATE(ROUND([2]Analysis!AA11,0),"/",ROUND([2]Analysis!L137,1))))</f>
        <v/>
      </c>
      <c r="T241" s="442" t="n"/>
      <c r="U241" s="202">
        <f>IF([2]Analysis!B11=0," ",IF($O$173="NA"," ",CONCATENATE(ROUND([2]Analysis!AB11,0),"/",ROUND([2]Analysis!M137,1))))</f>
        <v/>
      </c>
      <c r="V241" s="442" t="n"/>
      <c r="W241" s="531">
        <f>IF([2]Analysis!B11=0," ",IF($P$173="NA"," ",CONCATENATE(ROUND([2]Analysis!AC11,0),"/",ROUND([2]Analysis!N137,1))))</f>
        <v/>
      </c>
      <c r="X241" s="442" t="n"/>
      <c r="Y241" s="202">
        <f>IF([2]Analysis!B11=0," ",IF($Q$173="NA"," ",CONCATENATE(ROUND([2]Analysis!AD11,0),"/",ROUND([2]Analysis!O137,1))))</f>
        <v/>
      </c>
      <c r="Z241" s="442" t="n"/>
      <c r="AA241" s="7" t="n"/>
    </row>
    <row r="242">
      <c r="A242" s="6" t="n"/>
      <c r="B242" s="114">
        <f>IF([2]Analysis!B12=0," ",[2]Analysis!B12)</f>
        <v/>
      </c>
      <c r="C242" s="202">
        <f>IF([2]Analysis!B12=0," ",[2]Analysis!S12)</f>
        <v/>
      </c>
      <c r="D242" s="442" t="n"/>
      <c r="E242" s="530">
        <f>IF([2]Analysis!B12=0," ",[2]Analysis!T12)</f>
        <v/>
      </c>
      <c r="F242" s="442" t="n"/>
      <c r="G242" s="202">
        <f>IF([2]Analysis!B12=0," ",CONCATENATE(ROUND([2]Analysis!U12,0),"/",ROUND([2]Analysis!F138,1)))</f>
        <v/>
      </c>
      <c r="H242" s="442" t="n"/>
      <c r="I242" s="202">
        <f>IF([2]Analysis!B12=0," ",IF($I$173="NA"," ",CONCATENATE(ROUND([2]Analysis!V12,0),"/",ROUND([2]Analysis!G138,1))))</f>
        <v/>
      </c>
      <c r="J242" s="442" t="n"/>
      <c r="K242" s="202">
        <f>IF([2]Analysis!B12=0," ",IF($J$173="NA"," ",CONCATENATE(ROUND([2]Analysis!W12,0),"/",ROUND([2]Analysis!H138,1))))</f>
        <v/>
      </c>
      <c r="L242" s="442" t="n"/>
      <c r="M242" s="202">
        <f>IF([2]Analysis!B12=0," ",IF($K$173="NA"," ",CONCATENATE(ROUND([2]Analysis!X12,0),"/",ROUND([2]Analysis!I138,1))))</f>
        <v/>
      </c>
      <c r="N242" s="442" t="n"/>
      <c r="O242" s="202">
        <f>IF([2]Analysis!B12=0," ",IF($L$173="NA"," ",CONCATENATE(ROUND([2]Analysis!Y12,0),"/",ROUND([2]Analysis!J138,1))))</f>
        <v/>
      </c>
      <c r="P242" s="442" t="n"/>
      <c r="Q242" s="202">
        <f>IF([2]Analysis!B12=0," ",IF($M$173="NA"," ",CONCATENATE(ROUND([2]Analysis!Z12,0),"/",ROUND([2]Analysis!K138,1))))</f>
        <v/>
      </c>
      <c r="R242" s="442" t="n"/>
      <c r="S242" s="202">
        <f>IF([2]Analysis!B12=0," ",IF($N$173="NA"," ",CONCATENATE(ROUND([2]Analysis!AA12,0),"/",ROUND([2]Analysis!L138,1))))</f>
        <v/>
      </c>
      <c r="T242" s="442" t="n"/>
      <c r="U242" s="202">
        <f>IF([2]Analysis!B12=0," ",IF($O$173="NA"," ",CONCATENATE(ROUND([2]Analysis!AB12,0),"/",ROUND([2]Analysis!M138,1))))</f>
        <v/>
      </c>
      <c r="V242" s="442" t="n"/>
      <c r="W242" s="531">
        <f>IF([2]Analysis!B12=0," ",IF($P$173="NA"," ",CONCATENATE(ROUND([2]Analysis!AC12,0),"/",ROUND([2]Analysis!N138,1))))</f>
        <v/>
      </c>
      <c r="X242" s="442" t="n"/>
      <c r="Y242" s="202">
        <f>IF([2]Analysis!B12=0," ",IF($Q$173="NA"," ",CONCATENATE(ROUND([2]Analysis!AD12,0),"/",ROUND([2]Analysis!O138,1))))</f>
        <v/>
      </c>
      <c r="Z242" s="442" t="n"/>
      <c r="AA242" s="7" t="n"/>
    </row>
    <row r="243">
      <c r="A243" s="6" t="n"/>
      <c r="B243" s="114">
        <f>IF([2]Analysis!B13=0," ",[2]Analysis!B13)</f>
        <v/>
      </c>
      <c r="C243" s="202">
        <f>IF([2]Analysis!B13=0," ",[2]Analysis!S13)</f>
        <v/>
      </c>
      <c r="D243" s="442" t="n"/>
      <c r="E243" s="530">
        <f>IF([2]Analysis!B13=0," ",[2]Analysis!T13)</f>
        <v/>
      </c>
      <c r="F243" s="442" t="n"/>
      <c r="G243" s="202">
        <f>IF([2]Analysis!B13=0," ",CONCATENATE(ROUND([2]Analysis!U13,0),"/",ROUND([2]Analysis!F139,1)))</f>
        <v/>
      </c>
      <c r="H243" s="442" t="n"/>
      <c r="I243" s="202">
        <f>IF([2]Analysis!B13=0," ",IF($I$173="NA"," ",CONCATENATE(ROUND([2]Analysis!V13,0),"/",ROUND([2]Analysis!G139,1))))</f>
        <v/>
      </c>
      <c r="J243" s="442" t="n"/>
      <c r="K243" s="202">
        <f>IF([2]Analysis!B13=0," ",IF($J$173="NA"," ",CONCATENATE(ROUND([2]Analysis!W13,0),"/",ROUND([2]Analysis!H139,1))))</f>
        <v/>
      </c>
      <c r="L243" s="442" t="n"/>
      <c r="M243" s="202">
        <f>IF([2]Analysis!B13=0," ",IF($K$173="NA"," ",CONCATENATE(ROUND([2]Analysis!X13,0),"/",ROUND([2]Analysis!I139,1))))</f>
        <v/>
      </c>
      <c r="N243" s="442" t="n"/>
      <c r="O243" s="202">
        <f>IF([2]Analysis!B13=0," ",IF($L$173="NA"," ",CONCATENATE(ROUND([2]Analysis!Y13,0),"/",ROUND([2]Analysis!J139,1))))</f>
        <v/>
      </c>
      <c r="P243" s="442" t="n"/>
      <c r="Q243" s="202">
        <f>IF([2]Analysis!B13=0," ",IF($M$173="NA"," ",CONCATENATE(ROUND([2]Analysis!Z13,0),"/",ROUND([2]Analysis!K139,1))))</f>
        <v/>
      </c>
      <c r="R243" s="442" t="n"/>
      <c r="S243" s="202">
        <f>IF([2]Analysis!B13=0," ",IF($N$173="NA"," ",CONCATENATE(ROUND([2]Analysis!AA13,0),"/",ROUND([2]Analysis!L139,1))))</f>
        <v/>
      </c>
      <c r="T243" s="442" t="n"/>
      <c r="U243" s="202">
        <f>IF([2]Analysis!B13=0," ",IF($O$173="NA"," ",CONCATENATE(ROUND([2]Analysis!AB13,0),"/",ROUND([2]Analysis!M139,1))))</f>
        <v/>
      </c>
      <c r="V243" s="442" t="n"/>
      <c r="W243" s="531">
        <f>IF([2]Analysis!B13=0," ",IF($P$173="NA"," ",CONCATENATE(ROUND([2]Analysis!AC13,0),"/",ROUND([2]Analysis!N139,1))))</f>
        <v/>
      </c>
      <c r="X243" s="442" t="n"/>
      <c r="Y243" s="202">
        <f>IF([2]Analysis!B13=0," ",IF($Q$173="NA"," ",CONCATENATE(ROUND([2]Analysis!AD13,0),"/",ROUND([2]Analysis!O139,1))))</f>
        <v/>
      </c>
      <c r="Z243" s="442" t="n"/>
      <c r="AA243" s="7" t="n"/>
    </row>
    <row r="244">
      <c r="A244" s="6" t="n"/>
      <c r="B244" s="114">
        <f>IF([2]Analysis!B14=0," ",[2]Analysis!B14)</f>
        <v/>
      </c>
      <c r="C244" s="202">
        <f>IF([2]Analysis!B14=0," ",[2]Analysis!S14)</f>
        <v/>
      </c>
      <c r="D244" s="442" t="n"/>
      <c r="E244" s="530">
        <f>IF([2]Analysis!B14=0," ",[2]Analysis!T14)</f>
        <v/>
      </c>
      <c r="F244" s="442" t="n"/>
      <c r="G244" s="202">
        <f>IF([2]Analysis!B14=0," ",CONCATENATE(ROUND([2]Analysis!U14,0),"/",ROUND([2]Analysis!F140,1)))</f>
        <v/>
      </c>
      <c r="H244" s="442" t="n"/>
      <c r="I244" s="202">
        <f>IF([2]Analysis!B14=0," ",IF($I$173="NA"," ",CONCATENATE(ROUND([2]Analysis!V14,0),"/",ROUND([2]Analysis!G140,1))))</f>
        <v/>
      </c>
      <c r="J244" s="442" t="n"/>
      <c r="K244" s="202">
        <f>IF([2]Analysis!B14=0," ",IF($J$173="NA"," ",CONCATENATE(ROUND([2]Analysis!W14,0),"/",ROUND([2]Analysis!H140,1))))</f>
        <v/>
      </c>
      <c r="L244" s="442" t="n"/>
      <c r="M244" s="202">
        <f>IF([2]Analysis!B14=0," ",IF($K$173="NA"," ",CONCATENATE(ROUND([2]Analysis!X14,0),"/",ROUND([2]Analysis!I140,1))))</f>
        <v/>
      </c>
      <c r="N244" s="442" t="n"/>
      <c r="O244" s="202">
        <f>IF([2]Analysis!B14=0," ",IF($L$173="NA"," ",CONCATENATE(ROUND([2]Analysis!Y14,0),"/",ROUND([2]Analysis!J140,1))))</f>
        <v/>
      </c>
      <c r="P244" s="442" t="n"/>
      <c r="Q244" s="202">
        <f>IF([2]Analysis!B14=0," ",IF($M$173="NA"," ",CONCATENATE(ROUND([2]Analysis!Z14,0),"/",ROUND([2]Analysis!K140,1))))</f>
        <v/>
      </c>
      <c r="R244" s="442" t="n"/>
      <c r="S244" s="202">
        <f>IF([2]Analysis!B14=0," ",IF($N$173="NA"," ",CONCATENATE(ROUND([2]Analysis!AA14,0),"/",ROUND([2]Analysis!L140,1))))</f>
        <v/>
      </c>
      <c r="T244" s="442" t="n"/>
      <c r="U244" s="202">
        <f>IF([2]Analysis!B14=0," ",IF($O$173="NA"," ",CONCATENATE(ROUND([2]Analysis!AB14,0),"/",ROUND([2]Analysis!M140,1))))</f>
        <v/>
      </c>
      <c r="V244" s="442" t="n"/>
      <c r="W244" s="531">
        <f>IF([2]Analysis!B14=0," ",IF($P$173="NA"," ",CONCATENATE(ROUND([2]Analysis!AC14,0),"/",ROUND([2]Analysis!N140,1))))</f>
        <v/>
      </c>
      <c r="X244" s="442" t="n"/>
      <c r="Y244" s="202">
        <f>IF([2]Analysis!B14=0," ",IF($Q$173="NA"," ",CONCATENATE(ROUND([2]Analysis!AD14,0),"/",ROUND([2]Analysis!O140,1))))</f>
        <v/>
      </c>
      <c r="Z244" s="442" t="n"/>
      <c r="AA244" s="7" t="n"/>
    </row>
    <row r="245">
      <c r="A245" s="6" t="n"/>
      <c r="B245" s="114">
        <f>IF([2]Analysis!B15=0," ",[2]Analysis!B15)</f>
        <v/>
      </c>
      <c r="C245" s="202">
        <f>IF([2]Analysis!B15=0," ",[2]Analysis!S15)</f>
        <v/>
      </c>
      <c r="D245" s="442" t="n"/>
      <c r="E245" s="530">
        <f>IF([2]Analysis!B15=0," ",[2]Analysis!T15)</f>
        <v/>
      </c>
      <c r="F245" s="442" t="n"/>
      <c r="G245" s="202">
        <f>IF([2]Analysis!B15=0," ",CONCATENATE(ROUND([2]Analysis!U15,0),"/",ROUND([2]Analysis!F141,1)))</f>
        <v/>
      </c>
      <c r="H245" s="442" t="n"/>
      <c r="I245" s="202">
        <f>IF([2]Analysis!B15=0," ",IF($I$173="NA"," ",CONCATENATE(ROUND([2]Analysis!V15,0),"/",ROUND([2]Analysis!G141,1))))</f>
        <v/>
      </c>
      <c r="J245" s="442" t="n"/>
      <c r="K245" s="202">
        <f>IF([2]Analysis!B15=0," ",IF($J$173="NA"," ",CONCATENATE(ROUND([2]Analysis!W15,0),"/",ROUND([2]Analysis!H141,1))))</f>
        <v/>
      </c>
      <c r="L245" s="442" t="n"/>
      <c r="M245" s="202">
        <f>IF([2]Analysis!B15=0," ",IF($K$173="NA"," ",CONCATENATE(ROUND([2]Analysis!X15,0),"/",ROUND([2]Analysis!I141,1))))</f>
        <v/>
      </c>
      <c r="N245" s="442" t="n"/>
      <c r="O245" s="202">
        <f>IF([2]Analysis!B15=0," ",IF($L$173="NA"," ",CONCATENATE(ROUND([2]Analysis!Y15,0),"/",ROUND([2]Analysis!J141,1))))</f>
        <v/>
      </c>
      <c r="P245" s="442" t="n"/>
      <c r="Q245" s="202">
        <f>IF([2]Analysis!B15=0," ",IF($M$173="NA"," ",CONCATENATE(ROUND([2]Analysis!Z15,0),"/",ROUND([2]Analysis!K141,1))))</f>
        <v/>
      </c>
      <c r="R245" s="442" t="n"/>
      <c r="S245" s="202">
        <f>IF([2]Analysis!B15=0," ",IF($N$173="NA"," ",CONCATENATE(ROUND([2]Analysis!AA15,0),"/",ROUND([2]Analysis!L141,1))))</f>
        <v/>
      </c>
      <c r="T245" s="442" t="n"/>
      <c r="U245" s="202">
        <f>IF([2]Analysis!B15=0," ",IF($O$173="NA"," ",CONCATENATE(ROUND([2]Analysis!AB15,0),"/",ROUND([2]Analysis!M141,1))))</f>
        <v/>
      </c>
      <c r="V245" s="442" t="n"/>
      <c r="W245" s="531">
        <f>IF([2]Analysis!B15=0," ",IF($P$173="NA"," ",CONCATENATE(ROUND([2]Analysis!AC15,0),"/",ROUND([2]Analysis!N141,1))))</f>
        <v/>
      </c>
      <c r="X245" s="442" t="n"/>
      <c r="Y245" s="202">
        <f>IF([2]Analysis!B15=0," ",IF($Q$173="NA"," ",CONCATENATE(ROUND([2]Analysis!AD15,0),"/",ROUND([2]Analysis!O141,1))))</f>
        <v/>
      </c>
      <c r="Z245" s="442" t="n"/>
      <c r="AA245" s="7" t="n"/>
    </row>
    <row r="246">
      <c r="A246" s="6" t="n"/>
      <c r="B246" s="114">
        <f>IF([2]Analysis!B16=0," ",[2]Analysis!B16)</f>
        <v/>
      </c>
      <c r="C246" s="202">
        <f>IF([2]Analysis!B16=0," ",[2]Analysis!S16)</f>
        <v/>
      </c>
      <c r="D246" s="442" t="n"/>
      <c r="E246" s="530">
        <f>IF([2]Analysis!B16=0," ",[2]Analysis!T16)</f>
        <v/>
      </c>
      <c r="F246" s="442" t="n"/>
      <c r="G246" s="202">
        <f>IF([2]Analysis!B16=0," ",CONCATENATE(ROUND([2]Analysis!U16,0),"/",ROUND([2]Analysis!F142,1)))</f>
        <v/>
      </c>
      <c r="H246" s="442" t="n"/>
      <c r="I246" s="202">
        <f>IF([2]Analysis!B16=0," ",IF($I$173="NA"," ",CONCATENATE(ROUND([2]Analysis!V16,0),"/",ROUND([2]Analysis!G142,1))))</f>
        <v/>
      </c>
      <c r="J246" s="442" t="n"/>
      <c r="K246" s="202">
        <f>IF([2]Analysis!B16=0," ",IF($J$173="NA"," ",CONCATENATE(ROUND([2]Analysis!W16,0),"/",ROUND([2]Analysis!H142,1))))</f>
        <v/>
      </c>
      <c r="L246" s="442" t="n"/>
      <c r="M246" s="202">
        <f>IF([2]Analysis!B16=0," ",IF($K$173="NA"," ",CONCATENATE(ROUND([2]Analysis!X16,0),"/",ROUND([2]Analysis!I142,1))))</f>
        <v/>
      </c>
      <c r="N246" s="442" t="n"/>
      <c r="O246" s="202">
        <f>IF([2]Analysis!B16=0," ",IF($L$173="NA"," ",CONCATENATE(ROUND([2]Analysis!Y16,0),"/",ROUND([2]Analysis!J142,1))))</f>
        <v/>
      </c>
      <c r="P246" s="442" t="n"/>
      <c r="Q246" s="202">
        <f>IF([2]Analysis!B16=0," ",IF($M$173="NA"," ",CONCATENATE(ROUND([2]Analysis!Z16,0),"/",ROUND([2]Analysis!K142,1))))</f>
        <v/>
      </c>
      <c r="R246" s="442" t="n"/>
      <c r="S246" s="202">
        <f>IF([2]Analysis!B16=0," ",IF($N$173="NA"," ",CONCATENATE(ROUND([2]Analysis!AA16,0),"/",ROUND([2]Analysis!L142,1))))</f>
        <v/>
      </c>
      <c r="T246" s="442" t="n"/>
      <c r="U246" s="202">
        <f>IF([2]Analysis!B16=0," ",IF($O$173="NA"," ",CONCATENATE(ROUND([2]Analysis!AB16,0),"/",ROUND([2]Analysis!M142,1))))</f>
        <v/>
      </c>
      <c r="V246" s="442" t="n"/>
      <c r="W246" s="531">
        <f>IF([2]Analysis!B16=0," ",IF($P$173="NA"," ",CONCATENATE(ROUND([2]Analysis!AC16,0),"/",ROUND([2]Analysis!N142,1))))</f>
        <v/>
      </c>
      <c r="X246" s="442" t="n"/>
      <c r="Y246" s="202">
        <f>IF([2]Analysis!B16=0," ",IF($Q$173="NA"," ",CONCATENATE(ROUND([2]Analysis!AD16,0),"/",ROUND([2]Analysis!O142,1))))</f>
        <v/>
      </c>
      <c r="Z246" s="442" t="n"/>
      <c r="AA246" s="7" t="n"/>
    </row>
    <row r="247">
      <c r="A247" s="6" t="n"/>
      <c r="B247" s="114">
        <f>IF([2]Analysis!B17=0," ",[2]Analysis!B17)</f>
        <v/>
      </c>
      <c r="C247" s="202">
        <f>IF([2]Analysis!B17=0," ",[2]Analysis!S17)</f>
        <v/>
      </c>
      <c r="D247" s="442" t="n"/>
      <c r="E247" s="530">
        <f>IF([2]Analysis!B17=0," ",[2]Analysis!T17)</f>
        <v/>
      </c>
      <c r="F247" s="442" t="n"/>
      <c r="G247" s="202">
        <f>IF([2]Analysis!B17=0," ",CONCATENATE(ROUND([2]Analysis!U17,0),"/",ROUND([2]Analysis!F143,1)))</f>
        <v/>
      </c>
      <c r="H247" s="442" t="n"/>
      <c r="I247" s="202">
        <f>IF([2]Analysis!B17=0," ",IF($I$173="NA"," ",CONCATENATE(ROUND([2]Analysis!V17,0),"/",ROUND([2]Analysis!G143,1))))</f>
        <v/>
      </c>
      <c r="J247" s="442" t="n"/>
      <c r="K247" s="202">
        <f>IF([2]Analysis!B17=0," ",IF($J$173="NA"," ",CONCATENATE(ROUND([2]Analysis!W17,0),"/",ROUND([2]Analysis!H143,1))))</f>
        <v/>
      </c>
      <c r="L247" s="442" t="n"/>
      <c r="M247" s="202">
        <f>IF([2]Analysis!B17=0," ",IF($K$173="NA"," ",CONCATENATE(ROUND([2]Analysis!X17,0),"/",ROUND([2]Analysis!I143,1))))</f>
        <v/>
      </c>
      <c r="N247" s="442" t="n"/>
      <c r="O247" s="202">
        <f>IF([2]Analysis!B17=0," ",IF($L$173="NA"," ",CONCATENATE(ROUND([2]Analysis!Y17,0),"/",ROUND([2]Analysis!J143,1))))</f>
        <v/>
      </c>
      <c r="P247" s="442" t="n"/>
      <c r="Q247" s="202">
        <f>IF([2]Analysis!B17=0," ",IF($M$173="NA"," ",CONCATENATE(ROUND([2]Analysis!Z17,0),"/",ROUND([2]Analysis!K143,1))))</f>
        <v/>
      </c>
      <c r="R247" s="442" t="n"/>
      <c r="S247" s="202">
        <f>IF([2]Analysis!B17=0," ",IF($N$173="NA"," ",CONCATENATE(ROUND([2]Analysis!AA17,0),"/",ROUND([2]Analysis!L143,1))))</f>
        <v/>
      </c>
      <c r="T247" s="442" t="n"/>
      <c r="U247" s="202">
        <f>IF([2]Analysis!B17=0," ",IF($O$173="NA"," ",CONCATENATE(ROUND([2]Analysis!AB17,0),"/",ROUND([2]Analysis!M143,1))))</f>
        <v/>
      </c>
      <c r="V247" s="442" t="n"/>
      <c r="W247" s="531">
        <f>IF([2]Analysis!B17=0," ",IF($P$173="NA"," ",CONCATENATE(ROUND([2]Analysis!AC17,0),"/",ROUND([2]Analysis!N143,1))))</f>
        <v/>
      </c>
      <c r="X247" s="442" t="n"/>
      <c r="Y247" s="202">
        <f>IF([2]Analysis!B17=0," ",IF($Q$173="NA"," ",CONCATENATE(ROUND([2]Analysis!AD17,0),"/",ROUND([2]Analysis!O143,1))))</f>
        <v/>
      </c>
      <c r="Z247" s="442" t="n"/>
      <c r="AA247" s="7" t="n"/>
    </row>
    <row r="248">
      <c r="A248" s="6" t="n"/>
      <c r="B248" s="114">
        <f>IF([2]Analysis!B18=0," ",[2]Analysis!B18)</f>
        <v/>
      </c>
      <c r="C248" s="202">
        <f>IF([2]Analysis!B18=0," ",[2]Analysis!S18)</f>
        <v/>
      </c>
      <c r="D248" s="442" t="n"/>
      <c r="E248" s="530">
        <f>IF([2]Analysis!B18=0," ",[2]Analysis!T18)</f>
        <v/>
      </c>
      <c r="F248" s="442" t="n"/>
      <c r="G248" s="202">
        <f>IF([2]Analysis!B18=0," ",CONCATENATE(ROUND([2]Analysis!U18,0),"/",ROUND([2]Analysis!F144,1)))</f>
        <v/>
      </c>
      <c r="H248" s="442" t="n"/>
      <c r="I248" s="202">
        <f>IF([2]Analysis!B18=0," ",IF($I$173="NA"," ",CONCATENATE(ROUND([2]Analysis!V18,0),"/",ROUND([2]Analysis!G144,1))))</f>
        <v/>
      </c>
      <c r="J248" s="442" t="n"/>
      <c r="K248" s="202">
        <f>IF([2]Analysis!B18=0," ",IF($J$173="NA"," ",CONCATENATE(ROUND([2]Analysis!W18,0),"/",ROUND([2]Analysis!H144,1))))</f>
        <v/>
      </c>
      <c r="L248" s="442" t="n"/>
      <c r="M248" s="202">
        <f>IF([2]Analysis!B18=0," ",IF($K$173="NA"," ",CONCATENATE(ROUND([2]Analysis!X18,0),"/",ROUND([2]Analysis!I144,1))))</f>
        <v/>
      </c>
      <c r="N248" s="442" t="n"/>
      <c r="O248" s="202">
        <f>IF([2]Analysis!B18=0," ",IF($L$173="NA"," ",CONCATENATE(ROUND([2]Analysis!Y18,0),"/",ROUND([2]Analysis!J144,1))))</f>
        <v/>
      </c>
      <c r="P248" s="442" t="n"/>
      <c r="Q248" s="202">
        <f>IF([2]Analysis!B18=0," ",IF($M$173="NA"," ",CONCATENATE(ROUND([2]Analysis!Z18,0),"/",ROUND([2]Analysis!K144,1))))</f>
        <v/>
      </c>
      <c r="R248" s="442" t="n"/>
      <c r="S248" s="202">
        <f>IF([2]Analysis!B18=0," ",IF($N$173="NA"," ",CONCATENATE(ROUND([2]Analysis!AA18,0),"/",ROUND([2]Analysis!L144,1))))</f>
        <v/>
      </c>
      <c r="T248" s="442" t="n"/>
      <c r="U248" s="202">
        <f>IF([2]Analysis!B18=0," ",IF($O$173="NA"," ",CONCATENATE(ROUND([2]Analysis!AB18,0),"/",ROUND([2]Analysis!M144,1))))</f>
        <v/>
      </c>
      <c r="V248" s="442" t="n"/>
      <c r="W248" s="531">
        <f>IF([2]Analysis!B18=0," ",IF($P$173="NA"," ",CONCATENATE(ROUND([2]Analysis!AC18,0),"/",ROUND([2]Analysis!N144,1))))</f>
        <v/>
      </c>
      <c r="X248" s="442" t="n"/>
      <c r="Y248" s="202">
        <f>IF([2]Analysis!B18=0," ",IF($Q$173="NA"," ",CONCATENATE(ROUND([2]Analysis!AD18,0),"/",ROUND([2]Analysis!O144,1))))</f>
        <v/>
      </c>
      <c r="Z248" s="442" t="n"/>
      <c r="AA248" s="7" t="n"/>
    </row>
    <row r="249">
      <c r="A249" s="6" t="n"/>
      <c r="B249" s="114">
        <f>IF([2]Analysis!B19=0," ",[2]Analysis!B19)</f>
        <v/>
      </c>
      <c r="C249" s="202">
        <f>IF([2]Analysis!B19=0," ",[2]Analysis!S19)</f>
        <v/>
      </c>
      <c r="D249" s="442" t="n"/>
      <c r="E249" s="530">
        <f>IF([2]Analysis!B19=0," ",[2]Analysis!T19)</f>
        <v/>
      </c>
      <c r="F249" s="442" t="n"/>
      <c r="G249" s="202">
        <f>IF([2]Analysis!B19=0," ",CONCATENATE(ROUND([2]Analysis!U19,0),"/",ROUND([2]Analysis!F145,1)))</f>
        <v/>
      </c>
      <c r="H249" s="442" t="n"/>
      <c r="I249" s="202">
        <f>IF([2]Analysis!B19=0," ",IF($I$173="NA"," ",CONCATENATE(ROUND([2]Analysis!V19,0),"/",ROUND([2]Analysis!G145,1))))</f>
        <v/>
      </c>
      <c r="J249" s="442" t="n"/>
      <c r="K249" s="202">
        <f>IF([2]Analysis!B19=0," ",IF($J$173="NA"," ",CONCATENATE(ROUND([2]Analysis!W19,0),"/",ROUND([2]Analysis!H145,1))))</f>
        <v/>
      </c>
      <c r="L249" s="442" t="n"/>
      <c r="M249" s="202">
        <f>IF([2]Analysis!B19=0," ",IF($K$173="NA"," ",CONCATENATE(ROUND([2]Analysis!X19,0),"/",ROUND([2]Analysis!I145,1))))</f>
        <v/>
      </c>
      <c r="N249" s="442" t="n"/>
      <c r="O249" s="202">
        <f>IF([2]Analysis!B19=0," ",IF($L$173="NA"," ",CONCATENATE(ROUND([2]Analysis!Y19,0),"/",ROUND([2]Analysis!J145,1))))</f>
        <v/>
      </c>
      <c r="P249" s="442" t="n"/>
      <c r="Q249" s="202">
        <f>IF([2]Analysis!B19=0," ",IF($M$173="NA"," ",CONCATENATE(ROUND([2]Analysis!Z19,0),"/",ROUND([2]Analysis!K145,1))))</f>
        <v/>
      </c>
      <c r="R249" s="442" t="n"/>
      <c r="S249" s="202">
        <f>IF([2]Analysis!B19=0," ",IF($N$173="NA"," ",CONCATENATE(ROUND([2]Analysis!AA19,0),"/",ROUND([2]Analysis!L145,1))))</f>
        <v/>
      </c>
      <c r="T249" s="442" t="n"/>
      <c r="U249" s="202">
        <f>IF([2]Analysis!B19=0," ",IF($O$173="NA"," ",CONCATENATE(ROUND([2]Analysis!AB19,0),"/",ROUND([2]Analysis!M145,1))))</f>
        <v/>
      </c>
      <c r="V249" s="442" t="n"/>
      <c r="W249" s="531">
        <f>IF([2]Analysis!B19=0," ",IF($P$173="NA"," ",CONCATENATE(ROUND([2]Analysis!AC19,0),"/",ROUND([2]Analysis!N145,1))))</f>
        <v/>
      </c>
      <c r="X249" s="442" t="n"/>
      <c r="Y249" s="202">
        <f>IF([2]Analysis!B19=0," ",IF($Q$173="NA"," ",CONCATENATE(ROUND([2]Analysis!AD19,0),"/",ROUND([2]Analysis!O145,1))))</f>
        <v/>
      </c>
      <c r="Z249" s="442" t="n"/>
      <c r="AA249" s="7" t="n"/>
    </row>
    <row r="250">
      <c r="A250" s="6" t="n"/>
      <c r="B250" s="114">
        <f>IF([2]Analysis!B20=0," ",[2]Analysis!B20)</f>
        <v/>
      </c>
      <c r="C250" s="202">
        <f>IF([2]Analysis!B20=0," ",[2]Analysis!S20)</f>
        <v/>
      </c>
      <c r="D250" s="442" t="n"/>
      <c r="E250" s="530">
        <f>IF([2]Analysis!B20=0," ",[2]Analysis!T20)</f>
        <v/>
      </c>
      <c r="F250" s="442" t="n"/>
      <c r="G250" s="202">
        <f>IF([2]Analysis!B20=0," ",CONCATENATE(ROUND([2]Analysis!U20,0),"/",ROUND([2]Analysis!F146,1)))</f>
        <v/>
      </c>
      <c r="H250" s="442" t="n"/>
      <c r="I250" s="202">
        <f>IF([2]Analysis!B20=0," ",IF($I$173="NA"," ",CONCATENATE(ROUND([2]Analysis!V20,0),"/",ROUND([2]Analysis!G146,1))))</f>
        <v/>
      </c>
      <c r="J250" s="442" t="n"/>
      <c r="K250" s="202">
        <f>IF([2]Analysis!B20=0," ",IF($J$173="NA"," ",CONCATENATE(ROUND([2]Analysis!W20,0),"/",ROUND([2]Analysis!H146,1))))</f>
        <v/>
      </c>
      <c r="L250" s="442" t="n"/>
      <c r="M250" s="202">
        <f>IF([2]Analysis!B20=0," ",IF($K$173="NA"," ",CONCATENATE(ROUND([2]Analysis!X20,0),"/",ROUND([2]Analysis!I146,1))))</f>
        <v/>
      </c>
      <c r="N250" s="442" t="n"/>
      <c r="O250" s="202">
        <f>IF([2]Analysis!B20=0," ",IF($L$173="NA"," ",CONCATENATE(ROUND([2]Analysis!Y20,0),"/",ROUND([2]Analysis!J146,1))))</f>
        <v/>
      </c>
      <c r="P250" s="442" t="n"/>
      <c r="Q250" s="202">
        <f>IF([2]Analysis!B20=0," ",IF($M$173="NA"," ",CONCATENATE(ROUND([2]Analysis!Z20,0),"/",ROUND([2]Analysis!K146,1))))</f>
        <v/>
      </c>
      <c r="R250" s="442" t="n"/>
      <c r="S250" s="202">
        <f>IF([2]Analysis!B20=0," ",IF($N$173="NA"," ",CONCATENATE(ROUND([2]Analysis!AA20,0),"/",ROUND([2]Analysis!L146,1))))</f>
        <v/>
      </c>
      <c r="T250" s="442" t="n"/>
      <c r="U250" s="202">
        <f>IF([2]Analysis!B20=0," ",IF($O$173="NA"," ",CONCATENATE(ROUND([2]Analysis!AB20,0),"/",ROUND([2]Analysis!M146,1))))</f>
        <v/>
      </c>
      <c r="V250" s="442" t="n"/>
      <c r="W250" s="531">
        <f>IF([2]Analysis!B20=0," ",IF($P$173="NA"," ",CONCATENATE(ROUND([2]Analysis!AC20,0),"/",ROUND([2]Analysis!N146,1))))</f>
        <v/>
      </c>
      <c r="X250" s="442" t="n"/>
      <c r="Y250" s="202">
        <f>IF([2]Analysis!B20=0," ",IF($Q$173="NA"," ",CONCATENATE(ROUND([2]Analysis!AD20,0),"/",ROUND([2]Analysis!O146,1))))</f>
        <v/>
      </c>
      <c r="Z250" s="442" t="n"/>
      <c r="AA250" s="7" t="n"/>
    </row>
    <row r="251" ht="7.2" customHeight="1" s="429" thickBot="1">
      <c r="A251" s="42" t="n"/>
      <c r="B251" s="115" t="n"/>
      <c r="C251" s="115" t="n"/>
      <c r="D251" s="115" t="n"/>
      <c r="E251" s="532" t="n"/>
      <c r="F251" s="532" t="n"/>
      <c r="G251" s="115" t="n"/>
      <c r="H251" s="115" t="n"/>
      <c r="I251" s="115" t="n"/>
      <c r="J251" s="115" t="n"/>
      <c r="K251" s="115" t="n"/>
      <c r="L251" s="115" t="n"/>
      <c r="M251" s="115" t="n"/>
      <c r="N251" s="115" t="n"/>
      <c r="O251" s="115" t="n"/>
      <c r="P251" s="115" t="n"/>
      <c r="Q251" s="115" t="n"/>
      <c r="R251" s="115" t="n"/>
      <c r="S251" s="115" t="n"/>
      <c r="T251" s="115" t="n"/>
      <c r="U251" s="115" t="n"/>
      <c r="V251" s="115" t="n"/>
      <c r="W251" s="533" t="n"/>
      <c r="X251" s="533" t="n"/>
      <c r="Y251" s="115" t="n"/>
      <c r="Z251" s="115" t="n"/>
      <c r="AA251" s="46" t="n"/>
    </row>
    <row r="252" ht="27" customHeight="1" s="429">
      <c r="A252" s="1" t="n"/>
      <c r="B252" s="118" t="n"/>
      <c r="C252" s="217" t="inlineStr">
        <is>
          <t>Dynamic Analysis(Results)</t>
        </is>
      </c>
      <c r="D252" s="431" t="n"/>
      <c r="E252" s="431" t="n"/>
      <c r="F252" s="431" t="n"/>
      <c r="G252" s="431" t="n"/>
      <c r="H252" s="431" t="n"/>
      <c r="I252" s="431" t="n"/>
      <c r="J252" s="431" t="n"/>
      <c r="K252" s="431" t="n"/>
      <c r="L252" s="431" t="n"/>
      <c r="M252" s="431" t="n"/>
      <c r="N252" s="431" t="n"/>
      <c r="O252" s="431" t="n"/>
      <c r="P252" s="431" t="n"/>
      <c r="Q252" s="431" t="n"/>
      <c r="R252" s="431" t="n"/>
      <c r="S252" s="431" t="n"/>
      <c r="T252" s="217" t="n"/>
      <c r="U252" s="431" t="n"/>
      <c r="V252" s="431" t="n"/>
      <c r="W252" s="431" t="n"/>
      <c r="X252" s="431" t="n"/>
      <c r="Y252" s="431" t="n"/>
      <c r="Z252" s="118" t="n"/>
      <c r="AA252" s="2" t="n"/>
    </row>
    <row r="253" ht="10.95" customHeight="1" s="429">
      <c r="A253" s="6" t="n"/>
      <c r="B253" s="119" t="n"/>
      <c r="C253" s="164" t="n"/>
      <c r="D253" s="164" t="n"/>
      <c r="E253" s="164" t="n"/>
      <c r="F253" s="164" t="n"/>
      <c r="G253" s="164" t="n"/>
      <c r="H253" s="164" t="n"/>
      <c r="I253" s="164" t="n"/>
      <c r="J253" s="164" t="n"/>
      <c r="K253" s="164" t="n"/>
      <c r="L253" s="164" t="n"/>
      <c r="M253" s="164" t="n"/>
      <c r="N253" s="164" t="n"/>
      <c r="O253" s="164" t="n"/>
      <c r="P253" s="164" t="n"/>
      <c r="Q253" s="164" t="n"/>
      <c r="R253" s="164" t="n"/>
      <c r="S253" s="164" t="n"/>
      <c r="T253" s="164" t="n"/>
      <c r="U253" s="164" t="n"/>
      <c r="V253" s="164" t="n"/>
      <c r="W253" s="164" t="n"/>
      <c r="X253" s="164" t="n"/>
      <c r="Y253" s="164" t="n"/>
      <c r="Z253" s="119" t="n"/>
      <c r="AA253" s="7" t="n"/>
    </row>
    <row r="254" ht="20.4" customHeight="1" s="429">
      <c r="A254" s="6" t="n"/>
      <c r="B254" s="119" t="n"/>
      <c r="C254" s="76" t="inlineStr">
        <is>
          <t xml:space="preserve">Pulley Peak Hubloads [N] for Bracket Capability(Results) </t>
        </is>
      </c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  <c r="AA254" s="7" t="n"/>
    </row>
    <row r="255" ht="20.4" customHeight="1" s="429">
      <c r="A255" s="6" t="n"/>
      <c r="B255" s="119" t="n"/>
      <c r="C255" s="88" t="inlineStr">
        <is>
          <t>Note:Dexter Peak Hubloads are defined as: The highest hubloads calculates for all peak load &amp; accelerations conditions.</t>
        </is>
      </c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  <c r="AA255" s="7" t="n"/>
    </row>
    <row r="256" ht="24.75" customHeight="1" s="429">
      <c r="A256" s="6" t="n"/>
      <c r="D256" s="218" t="inlineStr">
        <is>
          <t>Engine                  [RPM]</t>
        </is>
      </c>
      <c r="E256" s="442" t="n"/>
      <c r="F256" s="218" t="inlineStr">
        <is>
          <t>Acceleration    [RPM/sec]</t>
        </is>
      </c>
      <c r="G256" s="442" t="n"/>
      <c r="H256" s="218" t="inlineStr">
        <is>
          <t>Hubload   [N]</t>
        </is>
      </c>
      <c r="I256" s="442" t="n"/>
      <c r="J256" s="218" t="inlineStr">
        <is>
          <t>Direction   [deg]</t>
        </is>
      </c>
      <c r="K256" s="442" t="n"/>
      <c r="L256" s="218" t="inlineStr">
        <is>
          <t>Tight side Tension[N]</t>
        </is>
      </c>
      <c r="M256" s="442" t="n"/>
      <c r="N256" s="218" t="inlineStr">
        <is>
          <t>Slack side Tension[N]</t>
        </is>
      </c>
      <c r="O256" s="442" t="n"/>
      <c r="AA256" s="7" t="n"/>
    </row>
    <row r="257" ht="13.95" customHeight="1" s="429">
      <c r="A257" s="6" t="n"/>
      <c r="B257" s="534">
        <f>E50</f>
        <v/>
      </c>
      <c r="C257" s="469" t="n"/>
      <c r="D257" s="202">
        <f>OFFSET([2]Analysis!$S$53,MATCH(H257,[2]Analysis!U54:U70,0),0)</f>
        <v/>
      </c>
      <c r="E257" s="442" t="n"/>
      <c r="F257" s="202">
        <f>H195</f>
        <v/>
      </c>
      <c r="G257" s="442" t="n"/>
      <c r="H257" s="531">
        <f>MAX([2]Analysis!U54:U70)</f>
        <v/>
      </c>
      <c r="I257" s="442" t="n"/>
      <c r="J257" s="520">
        <f>IF(B257="NA"," ",OFFSET([2]Geometry!$Z$17,MATCH(B257,[2]Geometry!$B$18:$B$27,0),0))</f>
        <v/>
      </c>
      <c r="K257" s="442" t="n"/>
      <c r="L257" s="520">
        <f>OFFSET([2]Analysis!AI53,MATCH(D257,[2]Analysis!$AH$54:$AH$70,0),0)</f>
        <v/>
      </c>
      <c r="M257" s="442" t="n"/>
      <c r="N257" s="520">
        <f>IF(B266="NA",IF(B265="NA",IF(B264="NA",IF(B263="NA",IF(B262="NA",IF(B261="NA",IF(B260="NA",[2]Analysis!AK71,[2]Analysis!AL71),[2]Analysis!AM71),[2]Analysis!AN71),[2]Analysis!AO71),[2]Analysis!AP71),[2]Analysis!AQ71),[2]Analysis!AR71)</f>
        <v/>
      </c>
      <c r="O257" s="442" t="n"/>
      <c r="AA257" s="7" t="n"/>
    </row>
    <row r="258" ht="14.25" customHeight="1" s="429">
      <c r="A258" s="6" t="n"/>
      <c r="B258" s="534">
        <f>E51</f>
        <v/>
      </c>
      <c r="C258" s="469" t="n"/>
      <c r="D258" s="202">
        <f>OFFSET([2]Analysis!$S$53,MATCH(H258,[2]Analysis!V54:V70,0),0)</f>
        <v/>
      </c>
      <c r="E258" s="442" t="n"/>
      <c r="F258" s="202">
        <f>H195</f>
        <v/>
      </c>
      <c r="G258" s="442" t="n"/>
      <c r="H258" s="531">
        <f>MAX([2]Analysis!V54:V70)</f>
        <v/>
      </c>
      <c r="I258" s="442" t="n"/>
      <c r="J258" s="520">
        <f>IF(B258="NA"," ",OFFSET([2]Geometry!$Z$17,MATCH(B258,[2]Geometry!$B$18:$B$27,0),0))</f>
        <v/>
      </c>
      <c r="K258" s="442" t="n"/>
      <c r="L258" s="520">
        <f>IF(B258="NA"," ",OFFSET([2]Analysis!AI53,MATCH(D258,[2]Analysis!$AH$54:$AH$70,0),0))</f>
        <v/>
      </c>
      <c r="M258" s="442" t="n"/>
      <c r="N258" s="520">
        <f>IF(B258="NA"," ",OFFSET([2]Analysis!AJ53,MATCH(D258,[2]Analysis!$AH$54:$AH$70,0),0))</f>
        <v/>
      </c>
      <c r="O258" s="442" t="n"/>
      <c r="AA258" s="7" t="n"/>
    </row>
    <row r="259" ht="14.25" customHeight="1" s="429">
      <c r="A259" s="6" t="n"/>
      <c r="B259" s="534">
        <f>E52</f>
        <v/>
      </c>
      <c r="C259" s="469" t="n"/>
      <c r="D259" s="531">
        <f>IF(B259="NA"," ",OFFSET([2]Analysis!$S$53,MATCH(H259,[2]Analysis!W54:W70,0),0))</f>
        <v/>
      </c>
      <c r="E259" s="442" t="n"/>
      <c r="F259" s="202">
        <f>IF(B259="NA"," ",$H$195)</f>
        <v/>
      </c>
      <c r="G259" s="442" t="n"/>
      <c r="H259" s="531">
        <f>IF(B259="NA"," ",MAX([2]Analysis!W54:W70))</f>
        <v/>
      </c>
      <c r="I259" s="442" t="n"/>
      <c r="J259" s="520">
        <f>IF(B259="NA"," ",OFFSET([2]Geometry!$Z$17,MATCH(B259,[2]Geometry!$B$18:$B$27,0),0))</f>
        <v/>
      </c>
      <c r="K259" s="442" t="n"/>
      <c r="L259" s="520">
        <f>IF(B259="NA"," ",OFFSET([2]Analysis!AJ53,MATCH(D259,[2]Analysis!$AH$54:$AH$70,0),0))</f>
        <v/>
      </c>
      <c r="M259" s="442" t="n"/>
      <c r="N259" s="520">
        <f>IF(B259="NA"," ",OFFSET([2]Analysis!AK53,MATCH(D259,[2]Analysis!$AH$54:$AH$70,0),0))</f>
        <v/>
      </c>
      <c r="O259" s="442" t="n"/>
      <c r="AA259" s="7" t="n"/>
    </row>
    <row r="260" ht="14.25" customHeight="1" s="429">
      <c r="A260" s="6" t="n"/>
      <c r="B260" s="534">
        <f>E53</f>
        <v/>
      </c>
      <c r="C260" s="469" t="n"/>
      <c r="D260" s="531">
        <f>IF(B260="NA"," ",OFFSET([2]Analysis!$S$53,MATCH(H260,[2]Analysis!X54:X70,0),0))</f>
        <v/>
      </c>
      <c r="E260" s="442" t="n"/>
      <c r="F260" s="202">
        <f>IF(B260="NA"," ",$H$195)</f>
        <v/>
      </c>
      <c r="G260" s="442" t="n"/>
      <c r="H260" s="531">
        <f>IF(B260="NA"," ",MAX([2]Analysis!X54:X70))</f>
        <v/>
      </c>
      <c r="I260" s="442" t="n"/>
      <c r="J260" s="520">
        <f>IF(B260="NA"," ",OFFSET([2]Geometry!$Z$17,MATCH(B260,[2]Geometry!$B$18:$B$27,0),0))</f>
        <v/>
      </c>
      <c r="K260" s="442" t="n"/>
      <c r="L260" s="520">
        <f>IF(B260="NA"," ",OFFSET([2]Analysis!AK53,MATCH(D260,[2]Analysis!$AH$54:$AH$70,0),0))</f>
        <v/>
      </c>
      <c r="M260" s="442" t="n"/>
      <c r="N260" s="520">
        <f>IF(B260="NA"," ",OFFSET([2]Analysis!AL53,MATCH(D260,[2]Analysis!$AH$54:$AH$70,0),0))</f>
        <v/>
      </c>
      <c r="O260" s="442" t="n"/>
      <c r="AA260" s="7" t="n"/>
    </row>
    <row r="261" ht="14.25" customHeight="1" s="429">
      <c r="A261" s="6" t="n"/>
      <c r="B261" s="534">
        <f>E54</f>
        <v/>
      </c>
      <c r="C261" s="469" t="n"/>
      <c r="D261" s="531">
        <f>IF(B261="NA"," ",OFFSET([2]Analysis!$S$53,MATCH(H261,[2]Analysis!Y54:Y70,0),0))</f>
        <v/>
      </c>
      <c r="E261" s="442" t="n"/>
      <c r="F261" s="202">
        <f>IF(B261="NA"," ",$H$195)</f>
        <v/>
      </c>
      <c r="G261" s="442" t="n"/>
      <c r="H261" s="531">
        <f>IF(B261="NA"," ",MAX([2]Analysis!Y54:Y70))</f>
        <v/>
      </c>
      <c r="I261" s="442" t="n"/>
      <c r="J261" s="520">
        <f>IF(B261="NA"," ",OFFSET([2]Geometry!$Z$17,MATCH(B261,[2]Geometry!$B$18:$B$27,0),0))</f>
        <v/>
      </c>
      <c r="K261" s="442" t="n"/>
      <c r="L261" s="520">
        <f>IF(B261="NA"," ",OFFSET([2]Analysis!AL53,MATCH(D261,[2]Analysis!$AH$54:$AH$70,0),0))</f>
        <v/>
      </c>
      <c r="M261" s="442" t="n"/>
      <c r="N261" s="520">
        <f>IF(B261="NA"," ",OFFSET([2]Analysis!AM53,MATCH(D261,[2]Analysis!$AH$54:$AH$70,0),0))</f>
        <v/>
      </c>
      <c r="O261" s="442" t="n"/>
      <c r="AA261" s="7" t="n"/>
    </row>
    <row r="262" ht="14.25" customHeight="1" s="429">
      <c r="A262" s="6" t="n"/>
      <c r="B262" s="534">
        <f>E55</f>
        <v/>
      </c>
      <c r="C262" s="469" t="n"/>
      <c r="D262" s="531">
        <f>IF(B262="NA"," ",OFFSET([2]Analysis!$S$53,MATCH(H262,[2]Analysis!Z54:Z70,0),0))</f>
        <v/>
      </c>
      <c r="E262" s="442" t="n"/>
      <c r="F262" s="202">
        <f>IF(B262="NA"," ",$H$195)</f>
        <v/>
      </c>
      <c r="G262" s="442" t="n"/>
      <c r="H262" s="531">
        <f>IF(B262="NA"," ",MAX([2]Analysis!Z54:Z70))</f>
        <v/>
      </c>
      <c r="I262" s="442" t="n"/>
      <c r="J262" s="520">
        <f>IF(B262="NA"," ",OFFSET([2]Geometry!$Z$17,MATCH(B262,[2]Geometry!$B$18:$B$27,0),0))</f>
        <v/>
      </c>
      <c r="K262" s="442" t="n"/>
      <c r="L262" s="520">
        <f>IF(B262="NA"," ",OFFSET([2]Analysis!AM53,MATCH(D262,[2]Analysis!$AH$54:$AH$70,0),0))</f>
        <v/>
      </c>
      <c r="M262" s="442" t="n"/>
      <c r="N262" s="520">
        <f>IF(B262="NA"," ",OFFSET([2]Analysis!AN53,MATCH(D262,[2]Analysis!$AH$54:$AH$70,0),0))</f>
        <v/>
      </c>
      <c r="O262" s="442" t="n"/>
      <c r="AA262" s="7" t="n"/>
    </row>
    <row r="263" ht="14.25" customHeight="1" s="429">
      <c r="A263" s="6" t="n"/>
      <c r="B263" s="534">
        <f>E56</f>
        <v/>
      </c>
      <c r="C263" s="469" t="n"/>
      <c r="D263" s="531">
        <f>IF(B263="NA"," ",OFFSET([2]Analysis!$S$53,MATCH(H263,[2]Analysis!AA54:AA70,0),0))</f>
        <v/>
      </c>
      <c r="E263" s="442" t="n"/>
      <c r="F263" s="202">
        <f>IF(B263="NA"," ",$H$195)</f>
        <v/>
      </c>
      <c r="G263" s="442" t="n"/>
      <c r="H263" s="531">
        <f>IF(B263="NA"," ",MAX([2]Analysis!AA54:AA70))</f>
        <v/>
      </c>
      <c r="I263" s="442" t="n"/>
      <c r="J263" s="520">
        <f>IF(B263="NA"," ",OFFSET([2]Geometry!$Z$17,MATCH(B263,[2]Geometry!$B$18:$B$27,0),0))</f>
        <v/>
      </c>
      <c r="K263" s="442" t="n"/>
      <c r="L263" s="520">
        <f>IF(B263="NA"," ",OFFSET([2]Analysis!AN53,MATCH(D263,[2]Analysis!$AH$54:$AH$70,0),0))</f>
        <v/>
      </c>
      <c r="M263" s="442" t="n"/>
      <c r="N263" s="520">
        <f>IF(B263="NA"," ",OFFSET([2]Analysis!AO53,MATCH(D263,[2]Analysis!$AH$54:$AH$70,0),0))</f>
        <v/>
      </c>
      <c r="O263" s="442" t="n"/>
      <c r="AA263" s="7" t="n"/>
    </row>
    <row r="264" ht="14.25" customHeight="1" s="429">
      <c r="A264" s="6" t="n"/>
      <c r="B264" s="534">
        <f>E57</f>
        <v/>
      </c>
      <c r="C264" s="469" t="n"/>
      <c r="D264" s="531">
        <f>IF(B264="NA"," ",OFFSET([2]Analysis!$S$53,MATCH(H264,[2]Analysis!AB54:AB70,0),0))</f>
        <v/>
      </c>
      <c r="E264" s="442" t="n"/>
      <c r="F264" s="202">
        <f>IF(B264="NA"," ",$H$195)</f>
        <v/>
      </c>
      <c r="G264" s="442" t="n"/>
      <c r="H264" s="531">
        <f>IF(B264="NA"," ",MAX([2]Analysis!AB54:AB70))</f>
        <v/>
      </c>
      <c r="I264" s="442" t="n"/>
      <c r="J264" s="520">
        <f>IF(B264="NA"," ",OFFSET([2]Geometry!$Z$17,MATCH(B264,[2]Geometry!$B$18:$B$27,0),0))</f>
        <v/>
      </c>
      <c r="K264" s="442" t="n"/>
      <c r="L264" s="520">
        <f>IF(B264="NA"," ",OFFSET([2]Analysis!AO53,MATCH(D264,[2]Analysis!$AH$54:$AH$70,0),0))</f>
        <v/>
      </c>
      <c r="M264" s="442" t="n"/>
      <c r="N264" s="520">
        <f>IF(B264="NA"," ",OFFSET([2]Analysis!AP53,MATCH(D264,[2]Analysis!$AH$54:$AH$70,0),0))</f>
        <v/>
      </c>
      <c r="O264" s="442" t="n"/>
      <c r="AA264" s="7" t="n"/>
    </row>
    <row r="265" ht="14.25" customHeight="1" s="429">
      <c r="A265" s="6" t="n"/>
      <c r="B265" s="534">
        <f>E58</f>
        <v/>
      </c>
      <c r="C265" s="469" t="n"/>
      <c r="D265" s="531">
        <f>IF(B265="NA"," ",OFFSET([2]Analysis!$S$53,MATCH(H265,[2]Analysis!AB55:AB71,0),0))</f>
        <v/>
      </c>
      <c r="E265" s="442" t="n"/>
      <c r="F265" s="202">
        <f>IF(B265="NA"," ",$H$195)</f>
        <v/>
      </c>
      <c r="G265" s="442" t="n"/>
      <c r="H265" s="531">
        <f>IF(B265="NA"," ",MAX([2]Analysis!AB55:AB71))</f>
        <v/>
      </c>
      <c r="I265" s="442" t="n"/>
      <c r="J265" s="520">
        <f>IF(B265="NA"," ",OFFSET([2]Geometry!$Z$17,MATCH(B265,[2]Geometry!$B$18:$B$27,0),0))</f>
        <v/>
      </c>
      <c r="K265" s="442" t="n"/>
      <c r="L265" s="520">
        <f>IF(B265="NA"," ",OFFSET([2]Analysis!AO54,MATCH(D265,[2]Analysis!$AH$54:$AH$70,0),0))</f>
        <v/>
      </c>
      <c r="M265" s="442" t="n"/>
      <c r="N265" s="520">
        <f>IF(B265="NA"," ",OFFSET([2]Analysis!AP54,MATCH(D265,[2]Analysis!$AH$54:$AH$70,0),0))</f>
        <v/>
      </c>
      <c r="O265" s="442" t="n"/>
      <c r="P265" s="535" t="n"/>
      <c r="AA265" s="7" t="n"/>
    </row>
    <row r="266" ht="16.95" customHeight="1" s="429">
      <c r="A266" s="6" t="n"/>
      <c r="B266" s="534">
        <f>E59</f>
        <v/>
      </c>
      <c r="C266" s="469" t="n"/>
      <c r="D266" s="531">
        <f>IF(B266="NA"," ",OFFSET([2]Analysis!$S$53,MATCH(H266,[2]Analysis!AB56:AB72,0),0))</f>
        <v/>
      </c>
      <c r="E266" s="442" t="n"/>
      <c r="F266" s="202">
        <f>IF(B266="NA"," ",$H$195)</f>
        <v/>
      </c>
      <c r="G266" s="442" t="n"/>
      <c r="H266" s="531">
        <f>IF(B266="NA"," ",MAX([2]Analysis!AB56:AB72))</f>
        <v/>
      </c>
      <c r="I266" s="442" t="n"/>
      <c r="J266" s="520">
        <f>IF(B266="NA"," ",OFFSET([2]Geometry!$Z$17,MATCH(B266,[2]Geometry!$B$18:$B$27,0),0))</f>
        <v/>
      </c>
      <c r="K266" s="442" t="n"/>
      <c r="L266" s="520">
        <f>IF(B266="NA"," ",OFFSET([2]Analysis!AO55,MATCH(D266,[2]Analysis!$AH$54:$AH$70,0),0))</f>
        <v/>
      </c>
      <c r="M266" s="442" t="n"/>
      <c r="N266" s="520">
        <f>IF(B266="NA"," ",OFFSET([2]Analysis!AP55,MATCH(D266,[2]Analysis!$AH$54:$AH$70,0),0))</f>
        <v/>
      </c>
      <c r="O266" s="442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Z266" s="17" t="n"/>
      <c r="BA266" s="17" t="n"/>
      <c r="BB266" s="17" t="n"/>
    </row>
    <row r="267" ht="16.95" customHeight="1" s="429">
      <c r="A267" s="6" t="n"/>
      <c r="B267" s="16" t="n"/>
      <c r="C267" s="165" t="inlineStr">
        <is>
          <t>Belt Tension [N] and Belt Life B10 Analysis</t>
        </is>
      </c>
      <c r="X267" s="16" t="n"/>
      <c r="Y267" s="16" t="n"/>
      <c r="Z267" s="16" t="n"/>
      <c r="AA267" s="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Z267" s="17" t="n"/>
      <c r="BA267" s="17" t="n"/>
      <c r="BB267" s="17" t="n"/>
    </row>
    <row r="268" ht="12" customHeight="1" s="429">
      <c r="A268" s="6" t="n"/>
      <c r="B268" s="16" t="n"/>
      <c r="X268" s="208" t="n"/>
      <c r="Z268" s="29" t="n"/>
      <c r="AA268" s="7" t="n"/>
      <c r="AC268" s="17" t="n"/>
      <c r="AD268" s="17" t="n"/>
      <c r="AE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Z268" s="17" t="n"/>
      <c r="BA268" s="17" t="n"/>
      <c r="BB268" s="17" t="n"/>
    </row>
    <row r="269" ht="4.5" customHeight="1" s="429">
      <c r="A269" s="6" t="n"/>
      <c r="B269" s="16" t="n"/>
      <c r="X269" s="16" t="n"/>
      <c r="Y269" s="16" t="n"/>
      <c r="Z269" s="16" t="n"/>
      <c r="AA269" s="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Z269" s="17" t="n"/>
      <c r="BA269" s="17" t="n"/>
      <c r="BB269" s="17" t="n"/>
    </row>
    <row r="270" ht="8.25" customHeight="1" s="429">
      <c r="A270" s="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Z270" s="17" t="n"/>
      <c r="BA270" s="17" t="n"/>
      <c r="BB270" s="17" t="n"/>
    </row>
    <row r="271" ht="20.25" customHeight="1" s="429">
      <c r="A271" s="6" t="n"/>
      <c r="B271" s="16" t="n"/>
      <c r="C271" s="165" t="inlineStr">
        <is>
          <t xml:space="preserve">Belt Mean Tension [N](Results) </t>
        </is>
      </c>
      <c r="P271" s="76" t="n"/>
      <c r="Q271" s="76" t="n"/>
      <c r="R271" s="165" t="inlineStr">
        <is>
          <t>(Results) Belt Rib Fatigue [%]</t>
        </is>
      </c>
      <c r="AA271" s="7" t="n"/>
      <c r="AC271" s="17" t="n"/>
      <c r="AD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Z271" s="17" t="n"/>
      <c r="BA271" s="17" t="n"/>
      <c r="BB271" s="17" t="n"/>
    </row>
    <row r="272" ht="7.5" customHeight="1" s="429">
      <c r="A272" s="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7" t="n"/>
    </row>
    <row r="273" ht="14.25" customHeight="1" s="429">
      <c r="A273" s="6" t="n"/>
      <c r="B273" s="204">
        <f>B233</f>
        <v/>
      </c>
      <c r="C273" s="202">
        <f>C233</f>
        <v/>
      </c>
      <c r="D273" s="442" t="n"/>
      <c r="E273" s="202">
        <f>E233</f>
        <v/>
      </c>
      <c r="F273" s="442" t="n"/>
      <c r="G273" s="202">
        <f>H173</f>
        <v/>
      </c>
      <c r="H273" s="202">
        <f>I173</f>
        <v/>
      </c>
      <c r="I273" s="202">
        <f>J173</f>
        <v/>
      </c>
      <c r="J273" s="202">
        <f>K173</f>
        <v/>
      </c>
      <c r="K273" s="202">
        <f>L173</f>
        <v/>
      </c>
      <c r="L273" s="202">
        <f>M173</f>
        <v/>
      </c>
      <c r="M273" s="202">
        <f>N173</f>
        <v/>
      </c>
      <c r="N273" s="202">
        <f>O173</f>
        <v/>
      </c>
      <c r="O273" s="202">
        <f>P173</f>
        <v/>
      </c>
      <c r="P273" s="202">
        <f>Q173</f>
        <v/>
      </c>
      <c r="Q273" s="121" t="n"/>
      <c r="R273" s="204">
        <f>B273</f>
        <v/>
      </c>
      <c r="S273" s="204">
        <f>C273</f>
        <v/>
      </c>
      <c r="T273" s="442" t="n"/>
      <c r="U273" s="204">
        <f>E273</f>
        <v/>
      </c>
      <c r="V273" s="442" t="n"/>
      <c r="W273" s="204" t="inlineStr">
        <is>
          <t>Rib Fatigue</t>
        </is>
      </c>
      <c r="X273" s="442" t="n"/>
      <c r="Y273" s="204" t="inlineStr">
        <is>
          <t>Belt 1 [%]</t>
        </is>
      </c>
      <c r="Z273" s="442" t="n"/>
      <c r="AA273" s="7" t="n"/>
    </row>
    <row r="274" ht="14.25" customHeight="1" s="429">
      <c r="A274" s="6" t="n"/>
      <c r="B274" s="114">
        <f>B234</f>
        <v/>
      </c>
      <c r="C274" s="202">
        <f>C234</f>
        <v/>
      </c>
      <c r="D274" s="442" t="n"/>
      <c r="E274" s="530">
        <f>E234</f>
        <v/>
      </c>
      <c r="F274" s="442" t="n"/>
      <c r="G274" s="202">
        <f>IF([2]Analysis!B4=0," ",[2]Analysis!AI4)</f>
        <v/>
      </c>
      <c r="H274" s="202">
        <f>IF([2]Analysis!B4=0," ",[2]Analysis!AJ4)</f>
        <v/>
      </c>
      <c r="I274" s="202">
        <f>IF([2]Analysis!B4=0," ",[2]Analysis!AK4)</f>
        <v/>
      </c>
      <c r="J274" s="202">
        <f>IF([2]Analysis!B4=0," ",[2]Analysis!AL4)</f>
        <v/>
      </c>
      <c r="K274" s="202">
        <f>IF([2]Analysis!B4=0," ",[2]Analysis!AM4)</f>
        <v/>
      </c>
      <c r="L274" s="202">
        <f>IF([2]Analysis!B4=0," ",[2]Analysis!AN4)</f>
        <v/>
      </c>
      <c r="M274" s="202">
        <f>IF([2]Analysis!B4=0," ",[2]Analysis!AO4)</f>
        <v/>
      </c>
      <c r="N274" s="202">
        <f>IF([2]Analysis!B4=0," ",[2]Analysis!AP4)</f>
        <v/>
      </c>
      <c r="O274" s="202">
        <f>IF([2]Analysis!B4=0," ",[2]Analysis!AQ4)</f>
        <v/>
      </c>
      <c r="P274" s="202">
        <f>IF([2]Analysis!B4=0," ",[2]Analysis!AR4)</f>
        <v/>
      </c>
      <c r="Q274" s="121" t="n"/>
      <c r="R274" s="536">
        <f>B274</f>
        <v/>
      </c>
      <c r="S274" s="202">
        <f>C274</f>
        <v/>
      </c>
      <c r="T274" s="442" t="n"/>
      <c r="U274" s="530">
        <f>E274</f>
        <v/>
      </c>
      <c r="V274" s="442" t="n"/>
      <c r="W274" s="530">
        <f>IF([2]Analysis!B4=0," ",[2]Analysis!AE75)</f>
        <v/>
      </c>
      <c r="X274" s="442" t="n"/>
      <c r="Y274" s="530">
        <f>IF([2]Analysis!B4=0," ",100*[2]Analysis!AE75/[2]Analysis!$AD$117)</f>
        <v/>
      </c>
      <c r="Z274" s="442" t="n"/>
      <c r="AA274" s="7" t="n"/>
    </row>
    <row r="275" ht="14.25" customHeight="1" s="429">
      <c r="A275" s="6" t="n"/>
      <c r="B275" s="114">
        <f>B235</f>
        <v/>
      </c>
      <c r="C275" s="202">
        <f>C235</f>
        <v/>
      </c>
      <c r="D275" s="442" t="n"/>
      <c r="E275" s="530">
        <f>E235</f>
        <v/>
      </c>
      <c r="F275" s="442" t="n"/>
      <c r="G275" s="202">
        <f>IF([2]Analysis!B5=0," ",[2]Analysis!AI5)</f>
        <v/>
      </c>
      <c r="H275" s="202">
        <f>IF([2]Analysis!B5=0," ",[2]Analysis!AJ5)</f>
        <v/>
      </c>
      <c r="I275" s="202">
        <f>IF([2]Analysis!B5=0," ",[2]Analysis!AK5)</f>
        <v/>
      </c>
      <c r="J275" s="202">
        <f>IF([2]Analysis!B5=0," ",[2]Analysis!AL5)</f>
        <v/>
      </c>
      <c r="K275" s="202">
        <f>IF([2]Analysis!B5=0," ",[2]Analysis!AM5)</f>
        <v/>
      </c>
      <c r="L275" s="202">
        <f>IF([2]Analysis!B5=0," ",[2]Analysis!AN5)</f>
        <v/>
      </c>
      <c r="M275" s="202">
        <f>IF([2]Analysis!B5=0," ",[2]Analysis!AO5)</f>
        <v/>
      </c>
      <c r="N275" s="202">
        <f>IF([2]Analysis!B5=0," ",[2]Analysis!AP5)</f>
        <v/>
      </c>
      <c r="O275" s="202">
        <f>IF([2]Analysis!B5=0," ",[2]Analysis!AQ5)</f>
        <v/>
      </c>
      <c r="P275" s="202">
        <f>IF([2]Analysis!B5=0," ",[2]Analysis!AR5)</f>
        <v/>
      </c>
      <c r="Q275" s="121" t="n"/>
      <c r="R275" s="536">
        <f>B275</f>
        <v/>
      </c>
      <c r="S275" s="202">
        <f>C275</f>
        <v/>
      </c>
      <c r="T275" s="442" t="n"/>
      <c r="U275" s="530">
        <f>E275</f>
        <v/>
      </c>
      <c r="V275" s="442" t="n"/>
      <c r="W275" s="530">
        <f>IF([2]Analysis!B5=0," ",[2]Analysis!AE76)</f>
        <v/>
      </c>
      <c r="X275" s="442" t="n"/>
      <c r="Y275" s="530">
        <f>IF([2]Analysis!B5=0," ",100*[2]Analysis!AE76/[2]Analysis!$AD$117)</f>
        <v/>
      </c>
      <c r="Z275" s="442" t="n"/>
      <c r="AA275" s="7" t="n"/>
    </row>
    <row r="276" ht="14.25" customHeight="1" s="429">
      <c r="A276" s="6" t="n"/>
      <c r="B276" s="114">
        <f>B236</f>
        <v/>
      </c>
      <c r="C276" s="202">
        <f>C236</f>
        <v/>
      </c>
      <c r="D276" s="442" t="n"/>
      <c r="E276" s="530">
        <f>E236</f>
        <v/>
      </c>
      <c r="F276" s="442" t="n"/>
      <c r="G276" s="202">
        <f>IF([2]Analysis!B6=0," ",[2]Analysis!AI6)</f>
        <v/>
      </c>
      <c r="H276" s="202">
        <f>IF([2]Analysis!B6=0," ",[2]Analysis!AJ6)</f>
        <v/>
      </c>
      <c r="I276" s="202">
        <f>IF([2]Analysis!B6=0," ",[2]Analysis!AK6)</f>
        <v/>
      </c>
      <c r="J276" s="202">
        <f>IF([2]Analysis!B6=0," ",[2]Analysis!AL6)</f>
        <v/>
      </c>
      <c r="K276" s="202">
        <f>IF([2]Analysis!B6=0," ",[2]Analysis!AM6)</f>
        <v/>
      </c>
      <c r="L276" s="202">
        <f>IF([2]Analysis!B6=0," ",[2]Analysis!AN6)</f>
        <v/>
      </c>
      <c r="M276" s="202">
        <f>IF([2]Analysis!B6=0," ",[2]Analysis!AO6)</f>
        <v/>
      </c>
      <c r="N276" s="202">
        <f>IF([2]Analysis!B6=0," ",[2]Analysis!AP6)</f>
        <v/>
      </c>
      <c r="O276" s="202">
        <f>IF([2]Analysis!B6=0," ",[2]Analysis!AQ6)</f>
        <v/>
      </c>
      <c r="P276" s="202">
        <f>IF([2]Analysis!B6=0," ",[2]Analysis!AR6)</f>
        <v/>
      </c>
      <c r="Q276" s="121" t="n"/>
      <c r="R276" s="536">
        <f>B276</f>
        <v/>
      </c>
      <c r="S276" s="202">
        <f>C276</f>
        <v/>
      </c>
      <c r="T276" s="442" t="n"/>
      <c r="U276" s="530">
        <f>E276</f>
        <v/>
      </c>
      <c r="V276" s="442" t="n"/>
      <c r="W276" s="530">
        <f>IF([2]Analysis!B6=0," ",[2]Analysis!AE77)</f>
        <v/>
      </c>
      <c r="X276" s="442" t="n"/>
      <c r="Y276" s="530">
        <f>IF([2]Analysis!B6=0," ",100*[2]Analysis!AE77/[2]Analysis!$AD$117)</f>
        <v/>
      </c>
      <c r="Z276" s="442" t="n"/>
      <c r="AA276" s="7" t="n"/>
    </row>
    <row r="277" ht="14.25" customHeight="1" s="429">
      <c r="A277" s="6" t="n"/>
      <c r="B277" s="114">
        <f>B237</f>
        <v/>
      </c>
      <c r="C277" s="202">
        <f>C237</f>
        <v/>
      </c>
      <c r="D277" s="442" t="n"/>
      <c r="E277" s="530">
        <f>E237</f>
        <v/>
      </c>
      <c r="F277" s="442" t="n"/>
      <c r="G277" s="202">
        <f>IF([2]Analysis!B7=0," ",[2]Analysis!AI7)</f>
        <v/>
      </c>
      <c r="H277" s="202">
        <f>IF([2]Analysis!B7=0," ",[2]Analysis!AJ7)</f>
        <v/>
      </c>
      <c r="I277" s="202">
        <f>IF([2]Analysis!B7=0," ",[2]Analysis!AK7)</f>
        <v/>
      </c>
      <c r="J277" s="202">
        <f>IF([2]Analysis!B7=0," ",[2]Analysis!AL7)</f>
        <v/>
      </c>
      <c r="K277" s="202">
        <f>IF([2]Analysis!B7=0," ",[2]Analysis!AM7)</f>
        <v/>
      </c>
      <c r="L277" s="202">
        <f>IF([2]Analysis!B7=0," ",[2]Analysis!AN7)</f>
        <v/>
      </c>
      <c r="M277" s="202">
        <f>IF([2]Analysis!B7=0," ",[2]Analysis!AO7)</f>
        <v/>
      </c>
      <c r="N277" s="202">
        <f>IF([2]Analysis!B7=0," ",[2]Analysis!AP7)</f>
        <v/>
      </c>
      <c r="O277" s="202">
        <f>IF([2]Analysis!B7=0," ",[2]Analysis!AQ7)</f>
        <v/>
      </c>
      <c r="P277" s="202">
        <f>IF([2]Analysis!B7=0," ",[2]Analysis!AR7)</f>
        <v/>
      </c>
      <c r="Q277" s="121" t="n"/>
      <c r="R277" s="536">
        <f>B277</f>
        <v/>
      </c>
      <c r="S277" s="202">
        <f>C277</f>
        <v/>
      </c>
      <c r="T277" s="442" t="n"/>
      <c r="U277" s="530">
        <f>E277</f>
        <v/>
      </c>
      <c r="V277" s="442" t="n"/>
      <c r="W277" s="530">
        <f>IF([2]Analysis!B7=0," ",[2]Analysis!AE78)</f>
        <v/>
      </c>
      <c r="X277" s="442" t="n"/>
      <c r="Y277" s="530">
        <f>IF([2]Analysis!B7=0," ",100*[2]Analysis!AE78/[2]Analysis!$AD$117)</f>
        <v/>
      </c>
      <c r="Z277" s="442" t="n"/>
      <c r="AA277" s="7" t="n"/>
    </row>
    <row r="278" ht="14.25" customHeight="1" s="429">
      <c r="A278" s="6" t="n"/>
      <c r="B278" s="114">
        <f>B238</f>
        <v/>
      </c>
      <c r="C278" s="202">
        <f>C238</f>
        <v/>
      </c>
      <c r="D278" s="442" t="n"/>
      <c r="E278" s="530">
        <f>E238</f>
        <v/>
      </c>
      <c r="F278" s="442" t="n"/>
      <c r="G278" s="202">
        <f>IF([2]Analysis!B8=0," ",[2]Analysis!AI8)</f>
        <v/>
      </c>
      <c r="H278" s="202">
        <f>IF([2]Analysis!B8=0," ",[2]Analysis!AJ8)</f>
        <v/>
      </c>
      <c r="I278" s="202">
        <f>IF([2]Analysis!B8=0," ",[2]Analysis!AK8)</f>
        <v/>
      </c>
      <c r="J278" s="202">
        <f>IF([2]Analysis!B8=0," ",[2]Analysis!AL8)</f>
        <v/>
      </c>
      <c r="K278" s="202">
        <f>IF([2]Analysis!B8=0," ",[2]Analysis!AM8)</f>
        <v/>
      </c>
      <c r="L278" s="202">
        <f>IF([2]Analysis!B8=0," ",[2]Analysis!AN8)</f>
        <v/>
      </c>
      <c r="M278" s="202">
        <f>IF([2]Analysis!B8=0," ",[2]Analysis!AO8)</f>
        <v/>
      </c>
      <c r="N278" s="202">
        <f>IF([2]Analysis!B8=0," ",[2]Analysis!AP8)</f>
        <v/>
      </c>
      <c r="O278" s="202">
        <f>IF([2]Analysis!B8=0," ",[2]Analysis!AQ8)</f>
        <v/>
      </c>
      <c r="P278" s="202">
        <f>IF([2]Analysis!B8=0," ",[2]Analysis!AR8)</f>
        <v/>
      </c>
      <c r="Q278" s="121" t="n"/>
      <c r="R278" s="536">
        <f>B278</f>
        <v/>
      </c>
      <c r="S278" s="202">
        <f>C278</f>
        <v/>
      </c>
      <c r="T278" s="442" t="n"/>
      <c r="U278" s="530">
        <f>E278</f>
        <v/>
      </c>
      <c r="V278" s="442" t="n"/>
      <c r="W278" s="530">
        <f>IF([2]Analysis!B8=0," ",[2]Analysis!AE79)</f>
        <v/>
      </c>
      <c r="X278" s="442" t="n"/>
      <c r="Y278" s="530">
        <f>IF([2]Analysis!B8=0," ",100*[2]Analysis!AE79/[2]Analysis!$AD$117)</f>
        <v/>
      </c>
      <c r="Z278" s="442" t="n"/>
      <c r="AA278" s="7" t="n"/>
    </row>
    <row r="279" ht="14.25" customHeight="1" s="429">
      <c r="A279" s="6" t="n"/>
      <c r="B279" s="114">
        <f>B239</f>
        <v/>
      </c>
      <c r="C279" s="202">
        <f>C239</f>
        <v/>
      </c>
      <c r="D279" s="442" t="n"/>
      <c r="E279" s="530">
        <f>E239</f>
        <v/>
      </c>
      <c r="F279" s="442" t="n"/>
      <c r="G279" s="202">
        <f>IF([2]Analysis!B9=0," ",[2]Analysis!AI9)</f>
        <v/>
      </c>
      <c r="H279" s="202">
        <f>IF([2]Analysis!B9=0," ",[2]Analysis!AJ9)</f>
        <v/>
      </c>
      <c r="I279" s="202">
        <f>IF([2]Analysis!B9=0," ",[2]Analysis!AK9)</f>
        <v/>
      </c>
      <c r="J279" s="202">
        <f>IF([2]Analysis!B9=0," ",[2]Analysis!AL9)</f>
        <v/>
      </c>
      <c r="K279" s="202">
        <f>IF([2]Analysis!B9=0," ",[2]Analysis!AM9)</f>
        <v/>
      </c>
      <c r="L279" s="202">
        <f>IF([2]Analysis!B9=0," ",[2]Analysis!AN9)</f>
        <v/>
      </c>
      <c r="M279" s="202">
        <f>IF([2]Analysis!B9=0," ",[2]Analysis!AO9)</f>
        <v/>
      </c>
      <c r="N279" s="202">
        <f>IF([2]Analysis!B9=0," ",[2]Analysis!AP9)</f>
        <v/>
      </c>
      <c r="O279" s="202">
        <f>IF([2]Analysis!B9=0," ",[2]Analysis!AQ9)</f>
        <v/>
      </c>
      <c r="P279" s="202">
        <f>IF([2]Analysis!B9=0," ",[2]Analysis!AR9)</f>
        <v/>
      </c>
      <c r="Q279" s="121" t="n"/>
      <c r="R279" s="536">
        <f>B279</f>
        <v/>
      </c>
      <c r="S279" s="202">
        <f>C279</f>
        <v/>
      </c>
      <c r="T279" s="442" t="n"/>
      <c r="U279" s="530">
        <f>E279</f>
        <v/>
      </c>
      <c r="V279" s="442" t="n"/>
      <c r="W279" s="530">
        <f>IF([2]Analysis!B9=0," ",[2]Analysis!AE80)</f>
        <v/>
      </c>
      <c r="X279" s="442" t="n"/>
      <c r="Y279" s="530">
        <f>IF([2]Analysis!B9=0," ",100*[2]Analysis!AE80/[2]Analysis!$AD$117)</f>
        <v/>
      </c>
      <c r="Z279" s="442" t="n"/>
      <c r="AA279" s="7" t="n"/>
    </row>
    <row r="280" ht="14.25" customHeight="1" s="429">
      <c r="A280" s="6" t="n"/>
      <c r="B280" s="114">
        <f>B240</f>
        <v/>
      </c>
      <c r="C280" s="202">
        <f>C240</f>
        <v/>
      </c>
      <c r="D280" s="442" t="n"/>
      <c r="E280" s="530">
        <f>E240</f>
        <v/>
      </c>
      <c r="F280" s="442" t="n"/>
      <c r="G280" s="202">
        <f>IF([2]Analysis!B10=0," ",[2]Analysis!AI10)</f>
        <v/>
      </c>
      <c r="H280" s="202">
        <f>IF([2]Analysis!B10=0," ",[2]Analysis!AJ10)</f>
        <v/>
      </c>
      <c r="I280" s="202">
        <f>IF([2]Analysis!B10=0," ",[2]Analysis!AK10)</f>
        <v/>
      </c>
      <c r="J280" s="202">
        <f>IF([2]Analysis!B10=0," ",[2]Analysis!AL10)</f>
        <v/>
      </c>
      <c r="K280" s="202">
        <f>IF([2]Analysis!B10=0," ",[2]Analysis!AM10)</f>
        <v/>
      </c>
      <c r="L280" s="202">
        <f>IF([2]Analysis!B10=0," ",[2]Analysis!AN10)</f>
        <v/>
      </c>
      <c r="M280" s="202">
        <f>IF([2]Analysis!B10=0," ",[2]Analysis!AO10)</f>
        <v/>
      </c>
      <c r="N280" s="202">
        <f>IF([2]Analysis!B10=0," ",[2]Analysis!AP10)</f>
        <v/>
      </c>
      <c r="O280" s="202">
        <f>IF([2]Analysis!B10=0," ",[2]Analysis!AQ10)</f>
        <v/>
      </c>
      <c r="P280" s="202">
        <f>IF([2]Analysis!B10=0," ",[2]Analysis!AR10)</f>
        <v/>
      </c>
      <c r="Q280" s="121" t="n"/>
      <c r="R280" s="536">
        <f>B280</f>
        <v/>
      </c>
      <c r="S280" s="202">
        <f>C280</f>
        <v/>
      </c>
      <c r="T280" s="442" t="n"/>
      <c r="U280" s="530">
        <f>E280</f>
        <v/>
      </c>
      <c r="V280" s="442" t="n"/>
      <c r="W280" s="530">
        <f>IF([2]Analysis!B10=0," ",[2]Analysis!AE81)</f>
        <v/>
      </c>
      <c r="X280" s="442" t="n"/>
      <c r="Y280" s="530">
        <f>IF([2]Analysis!B10=0," ",100*[2]Analysis!AE81/[2]Analysis!$AD$117)</f>
        <v/>
      </c>
      <c r="Z280" s="442" t="n"/>
      <c r="AA280" s="7" t="n"/>
    </row>
    <row r="281" ht="14.25" customHeight="1" s="429">
      <c r="A281" s="6" t="n"/>
      <c r="B281" s="114">
        <f>B241</f>
        <v/>
      </c>
      <c r="C281" s="202">
        <f>C241</f>
        <v/>
      </c>
      <c r="D281" s="442" t="n"/>
      <c r="E281" s="530">
        <f>E241</f>
        <v/>
      </c>
      <c r="F281" s="442" t="n"/>
      <c r="G281" s="202">
        <f>IF([2]Analysis!B11=0," ",[2]Analysis!AI11)</f>
        <v/>
      </c>
      <c r="H281" s="202">
        <f>IF([2]Analysis!B11=0," ",[2]Analysis!AJ11)</f>
        <v/>
      </c>
      <c r="I281" s="202">
        <f>IF([2]Analysis!B11=0," ",[2]Analysis!AK11)</f>
        <v/>
      </c>
      <c r="J281" s="202">
        <f>IF([2]Analysis!B11=0," ",[2]Analysis!AL11)</f>
        <v/>
      </c>
      <c r="K281" s="202">
        <f>IF([2]Analysis!B11=0," ",[2]Analysis!AM11)</f>
        <v/>
      </c>
      <c r="L281" s="202">
        <f>IF([2]Analysis!B11=0," ",[2]Analysis!AN11)</f>
        <v/>
      </c>
      <c r="M281" s="202">
        <f>IF([2]Analysis!B11=0," ",[2]Analysis!AO11)</f>
        <v/>
      </c>
      <c r="N281" s="202">
        <f>IF([2]Analysis!B11=0," ",[2]Analysis!AP11)</f>
        <v/>
      </c>
      <c r="O281" s="202">
        <f>IF([2]Analysis!B11=0," ",[2]Analysis!AQ11)</f>
        <v/>
      </c>
      <c r="P281" s="202">
        <f>IF([2]Analysis!B11=0," ",[2]Analysis!AR11)</f>
        <v/>
      </c>
      <c r="Q281" s="121" t="n"/>
      <c r="R281" s="536">
        <f>B281</f>
        <v/>
      </c>
      <c r="S281" s="202">
        <f>C281</f>
        <v/>
      </c>
      <c r="T281" s="442" t="n"/>
      <c r="U281" s="530">
        <f>E281</f>
        <v/>
      </c>
      <c r="V281" s="442" t="n"/>
      <c r="W281" s="530">
        <f>IF([2]Analysis!B11=0," ",[2]Analysis!AE82)</f>
        <v/>
      </c>
      <c r="X281" s="442" t="n"/>
      <c r="Y281" s="530">
        <f>IF([2]Analysis!B11=0," ",100*[2]Analysis!AE82/[2]Analysis!$AD$117)</f>
        <v/>
      </c>
      <c r="Z281" s="442" t="n"/>
      <c r="AA281" s="7" t="n"/>
    </row>
    <row r="282" ht="14.25" customHeight="1" s="429">
      <c r="A282" s="6" t="n"/>
      <c r="B282" s="114">
        <f>B242</f>
        <v/>
      </c>
      <c r="C282" s="202">
        <f>C242</f>
        <v/>
      </c>
      <c r="D282" s="442" t="n"/>
      <c r="E282" s="530">
        <f>E242</f>
        <v/>
      </c>
      <c r="F282" s="442" t="n"/>
      <c r="G282" s="202">
        <f>IF([2]Analysis!B12=0," ",[2]Analysis!AI12)</f>
        <v/>
      </c>
      <c r="H282" s="202">
        <f>IF([2]Analysis!B12=0," ",[2]Analysis!AJ12)</f>
        <v/>
      </c>
      <c r="I282" s="202">
        <f>IF([2]Analysis!B12=0," ",[2]Analysis!AK12)</f>
        <v/>
      </c>
      <c r="J282" s="202">
        <f>IF([2]Analysis!B12=0," ",[2]Analysis!AL12)</f>
        <v/>
      </c>
      <c r="K282" s="202">
        <f>IF([2]Analysis!B12=0," ",[2]Analysis!AM12)</f>
        <v/>
      </c>
      <c r="L282" s="202">
        <f>IF([2]Analysis!B12=0," ",[2]Analysis!AN12)</f>
        <v/>
      </c>
      <c r="M282" s="202">
        <f>IF([2]Analysis!B12=0," ",[2]Analysis!AO12)</f>
        <v/>
      </c>
      <c r="N282" s="202">
        <f>IF([2]Analysis!B12=0," ",[2]Analysis!AP12)</f>
        <v/>
      </c>
      <c r="O282" s="202">
        <f>IF([2]Analysis!B12=0," ",[2]Analysis!AQ12)</f>
        <v/>
      </c>
      <c r="P282" s="202">
        <f>IF([2]Analysis!B12=0," ",[2]Analysis!AR12)</f>
        <v/>
      </c>
      <c r="Q282" s="121" t="n"/>
      <c r="R282" s="536">
        <f>B282</f>
        <v/>
      </c>
      <c r="S282" s="204">
        <f>C282</f>
        <v/>
      </c>
      <c r="T282" s="442" t="n"/>
      <c r="U282" s="537">
        <f>E282</f>
        <v/>
      </c>
      <c r="V282" s="442" t="n"/>
      <c r="W282" s="537">
        <f>IF([2]Analysis!B12=0," ",[2]Analysis!AE83)</f>
        <v/>
      </c>
      <c r="X282" s="442" t="n"/>
      <c r="Y282" s="530">
        <f>IF([2]Analysis!B12=0," ",100*[2]Analysis!AE83/[2]Analysis!$AD$117)</f>
        <v/>
      </c>
      <c r="Z282" s="442" t="n"/>
      <c r="AA282" s="7" t="n"/>
    </row>
    <row r="283" ht="14.25" customHeight="1" s="429">
      <c r="A283" s="6" t="n"/>
      <c r="B283" s="114">
        <f>B243</f>
        <v/>
      </c>
      <c r="C283" s="202">
        <f>C243</f>
        <v/>
      </c>
      <c r="D283" s="442" t="n"/>
      <c r="E283" s="530">
        <f>E243</f>
        <v/>
      </c>
      <c r="F283" s="442" t="n"/>
      <c r="G283" s="202">
        <f>IF([2]Analysis!B13=0," ",[2]Analysis!AI13)</f>
        <v/>
      </c>
      <c r="H283" s="202">
        <f>IF([2]Analysis!B13=0," ",[2]Analysis!AJ13)</f>
        <v/>
      </c>
      <c r="I283" s="202">
        <f>IF([2]Analysis!B13=0," ",[2]Analysis!AK13)</f>
        <v/>
      </c>
      <c r="J283" s="202">
        <f>IF([2]Analysis!B13=0," ",[2]Analysis!AL13)</f>
        <v/>
      </c>
      <c r="K283" s="202">
        <f>IF([2]Analysis!B13=0," ",[2]Analysis!AM13)</f>
        <v/>
      </c>
      <c r="L283" s="202">
        <f>IF([2]Analysis!B13=0," ",[2]Analysis!AN13)</f>
        <v/>
      </c>
      <c r="M283" s="202">
        <f>IF([2]Analysis!B13=0," ",[2]Analysis!AO13)</f>
        <v/>
      </c>
      <c r="N283" s="202">
        <f>IF([2]Analysis!B13=0," ",[2]Analysis!AP13)</f>
        <v/>
      </c>
      <c r="O283" s="202">
        <f>IF([2]Analysis!B13=0," ",[2]Analysis!AQ13)</f>
        <v/>
      </c>
      <c r="P283" s="202">
        <f>IF([2]Analysis!B13=0," ",[2]Analysis!AR13)</f>
        <v/>
      </c>
      <c r="Q283" s="121" t="n"/>
      <c r="R283" s="536">
        <f>B283</f>
        <v/>
      </c>
      <c r="S283" s="204">
        <f>C283</f>
        <v/>
      </c>
      <c r="T283" s="442" t="n"/>
      <c r="U283" s="537">
        <f>E283</f>
        <v/>
      </c>
      <c r="V283" s="442" t="n"/>
      <c r="W283" s="537">
        <f>IF([2]Analysis!B13=0," ",[2]Analysis!AE84)</f>
        <v/>
      </c>
      <c r="X283" s="442" t="n"/>
      <c r="Y283" s="530">
        <f>IF([2]Analysis!B13=0," ",100*[2]Analysis!AE84/[2]Analysis!$AD$117)</f>
        <v/>
      </c>
      <c r="Z283" s="442" t="n"/>
      <c r="AA283" s="7" t="n"/>
    </row>
    <row r="284" ht="14.25" customHeight="1" s="429">
      <c r="A284" s="6" t="n"/>
      <c r="B284" s="114">
        <f>B244</f>
        <v/>
      </c>
      <c r="C284" s="202">
        <f>C244</f>
        <v/>
      </c>
      <c r="D284" s="442" t="n"/>
      <c r="E284" s="530">
        <f>E244</f>
        <v/>
      </c>
      <c r="F284" s="442" t="n"/>
      <c r="G284" s="202">
        <f>IF([2]Analysis!B14=0," ",[2]Analysis!AI14)</f>
        <v/>
      </c>
      <c r="H284" s="202">
        <f>IF([2]Analysis!B14=0," ",[2]Analysis!AJ14)</f>
        <v/>
      </c>
      <c r="I284" s="202">
        <f>IF([2]Analysis!B14=0," ",[2]Analysis!AK14)</f>
        <v/>
      </c>
      <c r="J284" s="202">
        <f>IF([2]Analysis!B14=0," ",[2]Analysis!AL14)</f>
        <v/>
      </c>
      <c r="K284" s="202">
        <f>IF([2]Analysis!B14=0," ",[2]Analysis!AM14)</f>
        <v/>
      </c>
      <c r="L284" s="202">
        <f>IF([2]Analysis!B14=0," ",[2]Analysis!AN14)</f>
        <v/>
      </c>
      <c r="M284" s="202">
        <f>IF([2]Analysis!B14=0," ",[2]Analysis!AO14)</f>
        <v/>
      </c>
      <c r="N284" s="202">
        <f>IF([2]Analysis!B14=0," ",[2]Analysis!AP14)</f>
        <v/>
      </c>
      <c r="O284" s="202">
        <f>IF([2]Analysis!B14=0," ",[2]Analysis!AQ14)</f>
        <v/>
      </c>
      <c r="P284" s="202">
        <f>IF([2]Analysis!B14=0," ",[2]Analysis!AR14)</f>
        <v/>
      </c>
      <c r="Q284" s="121" t="n"/>
      <c r="R284" s="536">
        <f>B284</f>
        <v/>
      </c>
      <c r="S284" s="204">
        <f>C284</f>
        <v/>
      </c>
      <c r="T284" s="442" t="n"/>
      <c r="U284" s="537">
        <f>E284</f>
        <v/>
      </c>
      <c r="V284" s="442" t="n"/>
      <c r="W284" s="537">
        <f>IF([2]Analysis!B14=0," ",[2]Analysis!AE85)</f>
        <v/>
      </c>
      <c r="X284" s="442" t="n"/>
      <c r="Y284" s="530">
        <f>IF([2]Analysis!B14=0," ",100*[2]Analysis!AE85/[2]Analysis!$AD$117)</f>
        <v/>
      </c>
      <c r="Z284" s="442" t="n"/>
      <c r="AA284" s="7" t="n"/>
    </row>
    <row r="285" ht="14.25" customHeight="1" s="429">
      <c r="A285" s="6" t="n"/>
      <c r="B285" s="114">
        <f>B245</f>
        <v/>
      </c>
      <c r="C285" s="202">
        <f>C245</f>
        <v/>
      </c>
      <c r="D285" s="442" t="n"/>
      <c r="E285" s="530">
        <f>E245</f>
        <v/>
      </c>
      <c r="F285" s="442" t="n"/>
      <c r="G285" s="202">
        <f>IF([2]Analysis!B15=0," ",[2]Analysis!AI15)</f>
        <v/>
      </c>
      <c r="H285" s="202">
        <f>IF([2]Analysis!B15=0," ",[2]Analysis!AJ15)</f>
        <v/>
      </c>
      <c r="I285" s="202">
        <f>IF([2]Analysis!B15=0," ",[2]Analysis!AK15)</f>
        <v/>
      </c>
      <c r="J285" s="202">
        <f>IF([2]Analysis!B15=0," ",[2]Analysis!AL15)</f>
        <v/>
      </c>
      <c r="K285" s="202">
        <f>IF([2]Analysis!B15=0," ",[2]Analysis!AM15)</f>
        <v/>
      </c>
      <c r="L285" s="202">
        <f>IF([2]Analysis!B15=0," ",[2]Analysis!AN15)</f>
        <v/>
      </c>
      <c r="M285" s="202">
        <f>IF([2]Analysis!B15=0," ",[2]Analysis!AO15)</f>
        <v/>
      </c>
      <c r="N285" s="202">
        <f>IF([2]Analysis!B15=0," ",[2]Analysis!AP15)</f>
        <v/>
      </c>
      <c r="O285" s="202">
        <f>IF([2]Analysis!B15=0," ",[2]Analysis!AQ15)</f>
        <v/>
      </c>
      <c r="P285" s="202">
        <f>IF([2]Analysis!B15=0," ",[2]Analysis!AR15)</f>
        <v/>
      </c>
      <c r="Q285" s="121" t="n"/>
      <c r="R285" s="536">
        <f>B285</f>
        <v/>
      </c>
      <c r="S285" s="204">
        <f>C285</f>
        <v/>
      </c>
      <c r="T285" s="442" t="n"/>
      <c r="U285" s="537">
        <f>E285</f>
        <v/>
      </c>
      <c r="V285" s="442" t="n"/>
      <c r="W285" s="537">
        <f>IF([2]Analysis!B15=0," ",[2]Analysis!AE86)</f>
        <v/>
      </c>
      <c r="X285" s="442" t="n"/>
      <c r="Y285" s="530">
        <f>IF([2]Analysis!B15=0," ",100*[2]Analysis!AE86/[2]Analysis!$AD$117)</f>
        <v/>
      </c>
      <c r="Z285" s="442" t="n"/>
      <c r="AA285" s="7" t="n"/>
    </row>
    <row r="286" ht="14.25" customHeight="1" s="429">
      <c r="A286" s="6" t="n"/>
      <c r="B286" s="114">
        <f>B246</f>
        <v/>
      </c>
      <c r="C286" s="202">
        <f>C246</f>
        <v/>
      </c>
      <c r="D286" s="442" t="n"/>
      <c r="E286" s="530">
        <f>E246</f>
        <v/>
      </c>
      <c r="F286" s="442" t="n"/>
      <c r="G286" s="202">
        <f>IF([2]Analysis!B16=0," ",[2]Analysis!AI16)</f>
        <v/>
      </c>
      <c r="H286" s="202">
        <f>IF([2]Analysis!B16=0," ",[2]Analysis!AJ16)</f>
        <v/>
      </c>
      <c r="I286" s="202">
        <f>IF([2]Analysis!B16=0," ",[2]Analysis!AK16)</f>
        <v/>
      </c>
      <c r="J286" s="202">
        <f>IF([2]Analysis!B16=0," ",[2]Analysis!AL16)</f>
        <v/>
      </c>
      <c r="K286" s="202">
        <f>IF([2]Analysis!B16=0," ",[2]Analysis!AM16)</f>
        <v/>
      </c>
      <c r="L286" s="202">
        <f>IF([2]Analysis!B16=0," ",[2]Analysis!AN16)</f>
        <v/>
      </c>
      <c r="M286" s="202">
        <f>IF([2]Analysis!B16=0," ",[2]Analysis!AO16)</f>
        <v/>
      </c>
      <c r="N286" s="202">
        <f>IF([2]Analysis!B16=0," ",[2]Analysis!AP16)</f>
        <v/>
      </c>
      <c r="O286" s="202">
        <f>IF([2]Analysis!B16=0," ",[2]Analysis!AQ16)</f>
        <v/>
      </c>
      <c r="P286" s="202">
        <f>IF([2]Analysis!B16=0," ",[2]Analysis!AR16)</f>
        <v/>
      </c>
      <c r="Q286" s="121" t="n"/>
      <c r="R286" s="536">
        <f>B286</f>
        <v/>
      </c>
      <c r="S286" s="204">
        <f>C286</f>
        <v/>
      </c>
      <c r="T286" s="442" t="n"/>
      <c r="U286" s="537">
        <f>E286</f>
        <v/>
      </c>
      <c r="V286" s="442" t="n"/>
      <c r="W286" s="537">
        <f>IF([2]Analysis!B16=0," ",[2]Analysis!AE87)</f>
        <v/>
      </c>
      <c r="X286" s="442" t="n"/>
      <c r="Y286" s="530">
        <f>IF([2]Analysis!B16=0," ",100*[2]Analysis!AE87/[2]Analysis!$AD$117)</f>
        <v/>
      </c>
      <c r="Z286" s="442" t="n"/>
      <c r="AA286" s="7" t="n"/>
    </row>
    <row r="287" ht="14.25" customHeight="1" s="429">
      <c r="A287" s="6" t="n"/>
      <c r="B287" s="114">
        <f>B247</f>
        <v/>
      </c>
      <c r="C287" s="202">
        <f>C247</f>
        <v/>
      </c>
      <c r="D287" s="442" t="n"/>
      <c r="E287" s="530">
        <f>E247</f>
        <v/>
      </c>
      <c r="F287" s="442" t="n"/>
      <c r="G287" s="202">
        <f>IF([2]Analysis!B17=0," ",[2]Analysis!AI17)</f>
        <v/>
      </c>
      <c r="H287" s="202">
        <f>IF([2]Analysis!B17=0," ",[2]Analysis!AJ17)</f>
        <v/>
      </c>
      <c r="I287" s="202">
        <f>IF([2]Analysis!B17=0," ",[2]Analysis!AK17)</f>
        <v/>
      </c>
      <c r="J287" s="202">
        <f>IF([2]Analysis!B17=0," ",[2]Analysis!AL17)</f>
        <v/>
      </c>
      <c r="K287" s="202">
        <f>IF([2]Analysis!B17=0," ",[2]Analysis!AM17)</f>
        <v/>
      </c>
      <c r="L287" s="202">
        <f>IF([2]Analysis!B17=0," ",[2]Analysis!AN17)</f>
        <v/>
      </c>
      <c r="M287" s="202">
        <f>IF([2]Analysis!B17=0," ",[2]Analysis!AO17)</f>
        <v/>
      </c>
      <c r="N287" s="202">
        <f>IF([2]Analysis!B17=0," ",[2]Analysis!AP17)</f>
        <v/>
      </c>
      <c r="O287" s="202">
        <f>IF([2]Analysis!B17=0," ",[2]Analysis!AQ17)</f>
        <v/>
      </c>
      <c r="P287" s="202">
        <f>IF([2]Analysis!B17=0," ",[2]Analysis!AR17)</f>
        <v/>
      </c>
      <c r="Q287" s="121" t="n"/>
      <c r="R287" s="536">
        <f>B287</f>
        <v/>
      </c>
      <c r="S287" s="204">
        <f>C287</f>
        <v/>
      </c>
      <c r="T287" s="442" t="n"/>
      <c r="U287" s="537">
        <f>E287</f>
        <v/>
      </c>
      <c r="V287" s="442" t="n"/>
      <c r="W287" s="537">
        <f>IF([2]Analysis!B17=0," ",[2]Analysis!AE88)</f>
        <v/>
      </c>
      <c r="X287" s="442" t="n"/>
      <c r="Y287" s="530">
        <f>IF([2]Analysis!B17=0," ",100*[2]Analysis!AE88/[2]Analysis!$AD$117)</f>
        <v/>
      </c>
      <c r="Z287" s="442" t="n"/>
      <c r="AA287" s="7" t="n"/>
    </row>
    <row r="288" ht="14.25" customHeight="1" s="429">
      <c r="A288" s="6" t="n"/>
      <c r="B288" s="114">
        <f>B248</f>
        <v/>
      </c>
      <c r="C288" s="202">
        <f>C248</f>
        <v/>
      </c>
      <c r="D288" s="442" t="n"/>
      <c r="E288" s="530">
        <f>E248</f>
        <v/>
      </c>
      <c r="F288" s="442" t="n"/>
      <c r="G288" s="202">
        <f>IF([2]Analysis!B18=0," ",[2]Analysis!AI18)</f>
        <v/>
      </c>
      <c r="H288" s="202">
        <f>IF([2]Analysis!B18=0," ",[2]Analysis!AJ18)</f>
        <v/>
      </c>
      <c r="I288" s="202">
        <f>IF([2]Analysis!B18=0," ",[2]Analysis!AK18)</f>
        <v/>
      </c>
      <c r="J288" s="202">
        <f>IF([2]Analysis!B18=0," ",[2]Analysis!AL18)</f>
        <v/>
      </c>
      <c r="K288" s="202">
        <f>IF([2]Analysis!B18=0," ",[2]Analysis!AM18)</f>
        <v/>
      </c>
      <c r="L288" s="202">
        <f>IF([2]Analysis!B18=0," ",[2]Analysis!AN18)</f>
        <v/>
      </c>
      <c r="M288" s="202">
        <f>IF([2]Analysis!B18=0," ",[2]Analysis!AO18)</f>
        <v/>
      </c>
      <c r="N288" s="202">
        <f>IF([2]Analysis!B18=0," ",[2]Analysis!AP18)</f>
        <v/>
      </c>
      <c r="O288" s="202">
        <f>IF([2]Analysis!B18=0," ",[2]Analysis!AQ18)</f>
        <v/>
      </c>
      <c r="P288" s="202">
        <f>IF([2]Analysis!B18=0," ",[2]Analysis!AR18)</f>
        <v/>
      </c>
      <c r="Q288" s="121" t="n"/>
      <c r="R288" s="536">
        <f>B288</f>
        <v/>
      </c>
      <c r="S288" s="204">
        <f>C288</f>
        <v/>
      </c>
      <c r="T288" s="442" t="n"/>
      <c r="U288" s="537">
        <f>E288</f>
        <v/>
      </c>
      <c r="V288" s="442" t="n"/>
      <c r="W288" s="537">
        <f>IF([2]Analysis!B18=0," ",[2]Analysis!AE89)</f>
        <v/>
      </c>
      <c r="X288" s="442" t="n"/>
      <c r="Y288" s="530">
        <f>IF([2]Analysis!B18=0," ",100*[2]Analysis!AE89/[2]Analysis!$AD$117)</f>
        <v/>
      </c>
      <c r="Z288" s="442" t="n"/>
      <c r="AA288" s="7" t="n"/>
    </row>
    <row r="289" ht="14.25" customHeight="1" s="429">
      <c r="A289" s="6" t="n"/>
      <c r="B289" s="114">
        <f>B249</f>
        <v/>
      </c>
      <c r="C289" s="202">
        <f>C249</f>
        <v/>
      </c>
      <c r="D289" s="442" t="n"/>
      <c r="E289" s="530">
        <f>E249</f>
        <v/>
      </c>
      <c r="F289" s="442" t="n"/>
      <c r="G289" s="202">
        <f>IF([2]Analysis!B19=0," ",[2]Analysis!AI19)</f>
        <v/>
      </c>
      <c r="H289" s="202">
        <f>IF([2]Analysis!B19=0," ",[2]Analysis!AJ19)</f>
        <v/>
      </c>
      <c r="I289" s="202">
        <f>IF([2]Analysis!B19=0," ",[2]Analysis!AK19)</f>
        <v/>
      </c>
      <c r="J289" s="202">
        <f>IF([2]Analysis!B19=0," ",[2]Analysis!AL19)</f>
        <v/>
      </c>
      <c r="K289" s="202">
        <f>IF([2]Analysis!B19=0," ",[2]Analysis!AM19)</f>
        <v/>
      </c>
      <c r="L289" s="202">
        <f>IF([2]Analysis!B19=0," ",[2]Analysis!AN19)</f>
        <v/>
      </c>
      <c r="M289" s="202">
        <f>IF([2]Analysis!B19=0," ",[2]Analysis!AO19)</f>
        <v/>
      </c>
      <c r="N289" s="202">
        <f>IF([2]Analysis!B19=0," ",[2]Analysis!AP19)</f>
        <v/>
      </c>
      <c r="O289" s="202">
        <f>IF([2]Analysis!B19=0," ",[2]Analysis!AQ19)</f>
        <v/>
      </c>
      <c r="P289" s="202">
        <f>IF([2]Analysis!B19=0," ",[2]Analysis!AR19)</f>
        <v/>
      </c>
      <c r="Q289" s="121" t="n"/>
      <c r="R289" s="536">
        <f>B289</f>
        <v/>
      </c>
      <c r="S289" s="204">
        <f>C289</f>
        <v/>
      </c>
      <c r="T289" s="442" t="n"/>
      <c r="U289" s="537">
        <f>E289</f>
        <v/>
      </c>
      <c r="V289" s="442" t="n"/>
      <c r="W289" s="537">
        <f>IF([2]Analysis!B19=0," ",[2]Analysis!AE90)</f>
        <v/>
      </c>
      <c r="X289" s="442" t="n"/>
      <c r="Y289" s="530">
        <f>IF([2]Analysis!B19=0," ",100*[2]Analysis!AE90/[2]Analysis!$AD$117)</f>
        <v/>
      </c>
      <c r="Z289" s="442" t="n"/>
      <c r="AA289" s="7" t="n"/>
    </row>
    <row r="290" ht="14.25" customHeight="1" s="429">
      <c r="A290" s="6" t="n"/>
      <c r="B290" s="114">
        <f>B250</f>
        <v/>
      </c>
      <c r="C290" s="202">
        <f>C250</f>
        <v/>
      </c>
      <c r="D290" s="442" t="n"/>
      <c r="E290" s="530">
        <f>E250</f>
        <v/>
      </c>
      <c r="F290" s="442" t="n"/>
      <c r="G290" s="202">
        <f>IF([2]Analysis!B20=0," ",[2]Analysis!AI20)</f>
        <v/>
      </c>
      <c r="H290" s="202">
        <f>IF([2]Analysis!B20=0," ",[2]Analysis!AJ20)</f>
        <v/>
      </c>
      <c r="I290" s="202">
        <f>IF([2]Analysis!B20=0," ",[2]Analysis!AK20)</f>
        <v/>
      </c>
      <c r="J290" s="202">
        <f>IF([2]Analysis!B20=0," ",[2]Analysis!AL20)</f>
        <v/>
      </c>
      <c r="K290" s="202">
        <f>IF([2]Analysis!B20=0," ",[2]Analysis!AM20)</f>
        <v/>
      </c>
      <c r="L290" s="202">
        <f>IF([2]Analysis!B20=0," ",[2]Analysis!AN20)</f>
        <v/>
      </c>
      <c r="M290" s="202">
        <f>IF([2]Analysis!B20=0," ",[2]Analysis!AO20)</f>
        <v/>
      </c>
      <c r="N290" s="202">
        <f>IF([2]Analysis!B20=0," ",[2]Analysis!AP20)</f>
        <v/>
      </c>
      <c r="O290" s="202">
        <f>IF([2]Analysis!B20=0," ",[2]Analysis!AQ20)</f>
        <v/>
      </c>
      <c r="P290" s="202">
        <f>IF([2]Analysis!B20=0," ",[2]Analysis!AR20)</f>
        <v/>
      </c>
      <c r="Q290" s="121" t="n"/>
      <c r="R290" s="536">
        <f>B290</f>
        <v/>
      </c>
      <c r="S290" s="204">
        <f>C290</f>
        <v/>
      </c>
      <c r="T290" s="442" t="n"/>
      <c r="U290" s="537">
        <f>E290</f>
        <v/>
      </c>
      <c r="V290" s="442" t="n"/>
      <c r="W290" s="537">
        <f>IF([2]Analysis!B20=0," ",[2]Analysis!AE91)</f>
        <v/>
      </c>
      <c r="X290" s="442" t="n"/>
      <c r="Y290" s="530">
        <f>IF([2]Analysis!B20=0," ",100*[2]Analysis!AE91/[2]Analysis!$AD$117)</f>
        <v/>
      </c>
      <c r="Z290" s="442" t="n"/>
      <c r="AA290" s="21" t="n"/>
    </row>
    <row r="291" ht="14.25" customHeight="1" s="429">
      <c r="A291" s="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538" t="inlineStr">
        <is>
          <t>(Results) Belt Flex Life</t>
        </is>
      </c>
      <c r="S291" s="459" t="n"/>
      <c r="T291" s="459" t="n"/>
      <c r="U291" s="459" t="n"/>
      <c r="V291" s="459" t="n"/>
      <c r="W291" s="459" t="n"/>
      <c r="X291" s="459" t="n"/>
      <c r="Y291" s="539" t="n"/>
      <c r="Z291" s="459" t="n"/>
      <c r="AA291" s="7" t="n"/>
    </row>
    <row r="292" ht="10.5" customHeight="1" s="429">
      <c r="A292" s="6" t="n"/>
      <c r="B292" s="1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439" t="n"/>
      <c r="S292" s="439" t="n"/>
      <c r="T292" s="439" t="n"/>
      <c r="U292" s="439" t="n"/>
      <c r="V292" s="439" t="n"/>
      <c r="W292" s="439" t="n"/>
      <c r="X292" s="439" t="n"/>
      <c r="Y292" s="86" t="n"/>
      <c r="Z292" s="16" t="n"/>
      <c r="AA292" s="7" t="n"/>
    </row>
    <row r="293" ht="14.25" customHeight="1" s="429">
      <c r="A293" s="6" t="n"/>
      <c r="B293" s="16" t="n"/>
      <c r="C293" s="16" t="n"/>
      <c r="D293" s="16" t="n"/>
      <c r="E293" s="16" t="n"/>
      <c r="F293" s="16" t="n"/>
      <c r="G293" s="88" t="n"/>
      <c r="H293" s="88" t="n"/>
      <c r="I293" s="86" t="n"/>
      <c r="J293" s="86" t="n"/>
      <c r="K293" s="86" t="n"/>
      <c r="L293" s="86" t="n"/>
      <c r="M293" s="86" t="n"/>
      <c r="N293" s="86" t="n"/>
      <c r="O293" s="86" t="n"/>
      <c r="P293" s="540" t="n"/>
      <c r="Q293" s="86" t="n"/>
      <c r="R293" s="112" t="inlineStr">
        <is>
          <t>DC [%]</t>
        </is>
      </c>
      <c r="S293" s="442" t="n"/>
      <c r="T293" s="541" t="inlineStr">
        <is>
          <t>Rib Fatigue (SUM)</t>
        </is>
      </c>
      <c r="U293" s="440" t="n"/>
      <c r="V293" s="442" t="n"/>
      <c r="W293" s="541" t="inlineStr">
        <is>
          <t>Flex Units</t>
        </is>
      </c>
      <c r="X293" s="442" t="n"/>
      <c r="Y293" s="541" t="inlineStr">
        <is>
          <t>Belt Elect</t>
        </is>
      </c>
      <c r="Z293" s="442" t="n"/>
      <c r="AA293" s="7" t="n"/>
    </row>
    <row r="294" ht="14.25" customHeight="1" s="429">
      <c r="A294" s="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86" t="n"/>
      <c r="R294" s="187">
        <f>[2]Input!Q12</f>
        <v/>
      </c>
      <c r="S294" s="442" t="n"/>
      <c r="T294" s="542">
        <f>[2]Analysis!AD93</f>
        <v/>
      </c>
      <c r="U294" s="440" t="n"/>
      <c r="V294" s="442" t="n"/>
      <c r="W294" s="543">
        <f>[2]Analysis!AA97</f>
        <v/>
      </c>
      <c r="X294" s="442" t="n"/>
      <c r="Y294" s="190">
        <f>[2]Input!I17</f>
        <v/>
      </c>
      <c r="Z294" s="442" t="n"/>
      <c r="AA294" s="7" t="n"/>
    </row>
    <row r="295" ht="5.25" customHeight="1" s="429">
      <c r="A295" s="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86" t="n"/>
      <c r="R295" s="124" t="n"/>
      <c r="S295" s="124" t="n"/>
      <c r="T295" s="544" t="n"/>
      <c r="U295" s="544" t="n"/>
      <c r="V295" s="544" t="n"/>
      <c r="W295" s="545" t="n"/>
      <c r="X295" s="545" t="n"/>
      <c r="Y295" s="127" t="inlineStr">
        <is>
          <t>s</t>
        </is>
      </c>
      <c r="Z295" s="127" t="n"/>
      <c r="AA295" s="7" t="n"/>
    </row>
    <row r="296" ht="14.25" customHeight="1" s="429">
      <c r="A296" s="6" t="n"/>
      <c r="B296" s="16" t="n"/>
      <c r="C296" s="16" t="n"/>
      <c r="D296" s="16" t="n"/>
      <c r="E296" s="88" t="n"/>
      <c r="F296" s="88" t="n"/>
      <c r="G296" s="16" t="n"/>
      <c r="H296" s="16" t="n"/>
      <c r="I296" s="86" t="n"/>
      <c r="J296" s="86" t="n"/>
      <c r="K296" s="86" t="n"/>
      <c r="L296" s="86" t="n"/>
      <c r="M296" s="86" t="n"/>
      <c r="N296" s="86" t="n"/>
      <c r="O296" s="86" t="n"/>
      <c r="P296" s="540" t="n"/>
      <c r="Q296" s="86" t="n"/>
      <c r="R296" s="191" t="inlineStr">
        <is>
          <t>Note:                                                                                 Belt life &gt; 1500 flex units for Neoprene(CR) belts;             Belt life &gt; 650 flex units for EPDM belts;                           Belt life &gt; 200 flex units for hybrid Aramid/EPDM.</t>
        </is>
      </c>
      <c r="AA296" s="7" t="n"/>
    </row>
    <row r="297" ht="17.25" customHeight="1" s="429">
      <c r="A297" s="6" t="n"/>
      <c r="B297" s="16" t="n"/>
      <c r="C297" s="16" t="n"/>
      <c r="D297" s="16" t="n"/>
      <c r="E297" s="16" t="n"/>
      <c r="F297" s="16" t="n"/>
      <c r="G297" s="16" t="n"/>
      <c r="H297" s="16" t="n"/>
      <c r="I297" s="86" t="n"/>
      <c r="J297" s="86" t="n"/>
      <c r="K297" s="86" t="n"/>
      <c r="L297" s="86" t="n"/>
      <c r="M297" s="86" t="n"/>
      <c r="N297" s="86" t="n"/>
      <c r="O297" s="86" t="n"/>
      <c r="P297" s="540" t="n"/>
      <c r="Q297" s="76" t="n"/>
      <c r="AA297" s="7" t="n"/>
    </row>
    <row r="298" ht="22.95" customHeight="1" s="429">
      <c r="A298" s="6" t="n"/>
      <c r="B298" s="1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16" t="n"/>
      <c r="P298" s="540" t="n"/>
      <c r="Q298" s="86" t="n"/>
      <c r="AA298" s="7" t="n"/>
    </row>
    <row r="299" ht="10.95" customHeight="1" s="429">
      <c r="A299" s="6" t="n"/>
      <c r="B299" s="1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16" t="n"/>
      <c r="P299" s="540" t="n"/>
      <c r="Q299" s="86" t="n"/>
      <c r="R299" s="193" t="inlineStr">
        <is>
          <t>(Results) Belt Life B10</t>
        </is>
      </c>
      <c r="Y299" s="86" t="n"/>
      <c r="Z299" s="16" t="n"/>
      <c r="AA299" s="7" t="n"/>
    </row>
    <row r="300" ht="12.75" customHeight="1" s="429">
      <c r="A300" s="6" t="n"/>
      <c r="B300" s="16" t="n"/>
      <c r="C300" s="128" t="n"/>
      <c r="D300" s="128" t="n"/>
      <c r="E300" s="128" t="n"/>
      <c r="F300" s="26" t="n"/>
      <c r="G300" s="26" t="n"/>
      <c r="H300" s="26" t="n"/>
      <c r="I300" s="26" t="n"/>
      <c r="J300" s="128" t="n"/>
      <c r="K300" s="128" t="n"/>
      <c r="L300" s="128" t="n"/>
      <c r="M300" s="128" t="n"/>
      <c r="N300" s="128" t="n"/>
      <c r="O300" s="128" t="n"/>
      <c r="P300" s="128" t="n"/>
      <c r="Q300" s="86" t="n"/>
      <c r="R300" s="439" t="n"/>
      <c r="S300" s="439" t="n"/>
      <c r="T300" s="439" t="n"/>
      <c r="U300" s="439" t="n"/>
      <c r="V300" s="439" t="n"/>
      <c r="W300" s="439" t="n"/>
      <c r="X300" s="439" t="n"/>
      <c r="Y300" s="16" t="n"/>
      <c r="Z300" s="86" t="n"/>
      <c r="AA300" s="7" t="n"/>
    </row>
    <row r="301" ht="14.25" customHeight="1" s="429">
      <c r="A301" s="6" t="n"/>
      <c r="B301" s="16" t="n"/>
      <c r="C301" s="128" t="n"/>
      <c r="D301" s="128" t="n"/>
      <c r="E301" s="128" t="n"/>
      <c r="F301" s="26" t="n"/>
      <c r="G301" s="26" t="n"/>
      <c r="H301" s="26" t="n"/>
      <c r="I301" s="26" t="n"/>
      <c r="J301" s="128" t="n"/>
      <c r="K301" s="128" t="n"/>
      <c r="L301" s="128" t="n"/>
      <c r="M301" s="128" t="n"/>
      <c r="N301" s="128" t="n"/>
      <c r="O301" s="128" t="n"/>
      <c r="P301" s="128" t="n"/>
      <c r="Q301" s="76" t="n"/>
      <c r="R301" s="546" t="inlineStr">
        <is>
          <t>Duty Cycle       [%]</t>
        </is>
      </c>
      <c r="S301" s="458" t="n"/>
      <c r="T301" s="546" t="inlineStr">
        <is>
          <t>Average Vehicle Speed  [km/h]</t>
        </is>
      </c>
      <c r="U301" s="459" t="n"/>
      <c r="V301" s="458" t="n"/>
      <c r="W301" s="546" t="inlineStr">
        <is>
          <t>Tempera-ture  [C]</t>
        </is>
      </c>
      <c r="X301" s="458" t="n"/>
      <c r="Y301" s="541" t="inlineStr">
        <is>
          <t>B10     (km)</t>
        </is>
      </c>
      <c r="Z301" s="458" t="n"/>
      <c r="AA301" s="7" t="n"/>
    </row>
    <row r="302" ht="14.25" customHeight="1" s="429">
      <c r="A302" s="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461" t="n"/>
      <c r="S302" s="447" t="n"/>
      <c r="T302" s="461" t="n"/>
      <c r="U302" s="439" t="n"/>
      <c r="V302" s="447" t="n"/>
      <c r="W302" s="461" t="n"/>
      <c r="X302" s="447" t="n"/>
      <c r="Y302" s="461" t="n"/>
      <c r="Z302" s="447" t="n"/>
      <c r="AA302" s="7" t="n"/>
    </row>
    <row r="303" ht="14.25" customHeight="1" s="429">
      <c r="A303" s="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84">
        <f>[2]Input!Q12</f>
        <v/>
      </c>
      <c r="S303" s="442" t="n"/>
      <c r="T303" s="547">
        <f>[2]Analysis!V97</f>
        <v/>
      </c>
      <c r="U303" s="440" t="n"/>
      <c r="V303" s="442" t="n"/>
      <c r="W303" s="184">
        <f>[2]Analysis!Y97</f>
        <v/>
      </c>
      <c r="X303" s="442" t="n"/>
      <c r="Y303" s="548">
        <f>IF([2]Analysis!AC97&gt;999999.5,"&gt;1Million",[2]Analysis!AC97)</f>
        <v/>
      </c>
      <c r="Z303" s="442" t="n"/>
      <c r="AA303" s="7" t="n"/>
      <c r="AF303" s="549" t="n"/>
    </row>
    <row r="304" ht="6" customHeight="1" s="429" thickBot="1">
      <c r="A304" s="42" t="n"/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550" t="n"/>
      <c r="Q304" s="551" t="n"/>
      <c r="R304" s="551" t="n"/>
      <c r="S304" s="132" t="n"/>
      <c r="T304" s="132" t="n"/>
      <c r="U304" s="132" t="n"/>
      <c r="V304" s="551" t="n"/>
      <c r="W304" s="551" t="n"/>
      <c r="X304" s="552" t="n"/>
      <c r="Y304" s="552" t="n"/>
      <c r="Z304" s="43" t="n"/>
      <c r="AA304" s="46" t="n"/>
    </row>
    <row r="305" ht="6.75" customHeight="1" s="429">
      <c r="A305" s="1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553" t="n"/>
      <c r="Q305" s="554" t="n"/>
      <c r="R305" s="554" t="n"/>
      <c r="S305" s="136" t="n"/>
      <c r="T305" s="136" t="n"/>
      <c r="U305" s="136" t="n"/>
      <c r="V305" s="554" t="n"/>
      <c r="W305" s="554" t="n"/>
      <c r="X305" s="555" t="n"/>
      <c r="Y305" s="555" t="n"/>
      <c r="Z305" s="47" t="n"/>
      <c r="AA305" s="2" t="n"/>
    </row>
    <row r="306" ht="6.75" customHeight="1" s="429">
      <c r="A306" s="6" t="n"/>
      <c r="B306" s="16" t="n"/>
      <c r="C306" s="164" t="inlineStr">
        <is>
          <t>Dynamic Analysis(Results)</t>
        </is>
      </c>
      <c r="T306" s="124" t="n"/>
      <c r="U306" s="124" t="n"/>
      <c r="V306" s="556" t="n"/>
      <c r="W306" s="556" t="n"/>
      <c r="X306" s="557" t="n"/>
      <c r="Y306" s="557" t="n"/>
      <c r="Z306" s="16" t="n"/>
      <c r="AA306" s="7" t="n"/>
    </row>
    <row r="307" ht="6.75" customHeight="1" s="429">
      <c r="A307" s="6" t="n"/>
      <c r="B307" s="16" t="n"/>
      <c r="T307" s="124" t="n"/>
      <c r="U307" s="124" t="n"/>
      <c r="V307" s="556" t="n"/>
      <c r="W307" s="556" t="n"/>
      <c r="X307" s="557" t="n"/>
      <c r="Y307" s="557" t="n"/>
      <c r="Z307" s="16" t="n"/>
      <c r="AA307" s="7" t="n"/>
    </row>
    <row r="308" ht="6.75" customHeight="1" s="429">
      <c r="A308" s="6" t="n"/>
      <c r="B308" s="16" t="n"/>
      <c r="T308" s="124" t="n"/>
      <c r="U308" s="124" t="n"/>
      <c r="V308" s="556" t="n"/>
      <c r="W308" s="556" t="n"/>
      <c r="X308" s="557" t="n"/>
      <c r="Y308" s="557" t="n"/>
      <c r="Z308" s="16" t="n"/>
      <c r="AA308" s="7" t="n"/>
    </row>
    <row r="309" ht="6.75" customHeight="1" s="429">
      <c r="A309" s="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540" t="n"/>
      <c r="Q309" s="556" t="n"/>
      <c r="R309" s="556" t="n"/>
      <c r="S309" s="124" t="n"/>
      <c r="T309" s="124" t="n"/>
      <c r="U309" s="124" t="n"/>
      <c r="V309" s="556" t="n"/>
      <c r="W309" s="556" t="n"/>
      <c r="X309" s="557" t="n"/>
      <c r="Y309" s="557" t="n"/>
      <c r="Z309" s="16" t="n"/>
      <c r="AA309" s="7" t="n"/>
    </row>
    <row r="310" ht="12" customHeight="1" s="429">
      <c r="A310" s="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Z310" s="17" t="n"/>
      <c r="BA310" s="17" t="n"/>
      <c r="BB310" s="17" t="n"/>
    </row>
    <row r="311" ht="20.25" customHeight="1" s="429">
      <c r="A311" s="6" t="n"/>
      <c r="B311" s="16" t="n"/>
      <c r="C311" s="165" t="inlineStr">
        <is>
          <t xml:space="preserve"> Belt Span Natural Frequency(Results)</t>
        </is>
      </c>
      <c r="U311" s="76" t="n"/>
      <c r="V311" s="76" t="n"/>
      <c r="W311" s="76" t="n"/>
      <c r="X311" s="76" t="n"/>
      <c r="Y311" s="76" t="n"/>
      <c r="Z311" s="16" t="n"/>
      <c r="AA311" s="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Z311" s="17" t="n"/>
      <c r="BA311" s="17" t="n"/>
      <c r="BB311" s="17" t="n"/>
    </row>
    <row r="312" ht="6.75" customHeight="1" s="429">
      <c r="A312" s="6" t="n"/>
      <c r="B312" s="16" t="n"/>
      <c r="C312" s="165" t="n"/>
      <c r="D312" s="165" t="n"/>
      <c r="E312" s="165" t="n"/>
      <c r="F312" s="165" t="n"/>
      <c r="G312" s="165" t="n"/>
      <c r="H312" s="165" t="n"/>
      <c r="I312" s="165" t="n"/>
      <c r="J312" s="165" t="n"/>
      <c r="K312" s="165" t="n"/>
      <c r="L312" s="165" t="n"/>
      <c r="M312" s="165" t="n"/>
      <c r="N312" s="165" t="n"/>
      <c r="O312" s="165" t="n"/>
      <c r="P312" s="165" t="n"/>
      <c r="Q312" s="165" t="n"/>
      <c r="R312" s="482" t="n"/>
      <c r="S312" s="519" t="n"/>
      <c r="T312" s="519" t="n"/>
      <c r="U312" s="62" t="n"/>
      <c r="V312" s="62" t="n"/>
      <c r="W312" s="62" t="n"/>
      <c r="X312" s="62" t="n"/>
      <c r="Y312" s="62" t="n"/>
      <c r="Z312" s="16" t="n"/>
      <c r="AA312" s="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Z312" s="17" t="n"/>
      <c r="BA312" s="17" t="n"/>
      <c r="BB312" s="17" t="n"/>
    </row>
    <row r="313" ht="15" customHeight="1" s="429">
      <c r="A313" s="6" t="n"/>
      <c r="B313" s="88" t="n"/>
      <c r="C313" s="88" t="n"/>
      <c r="D313" s="88" t="n"/>
      <c r="E313" s="88" t="n"/>
      <c r="F313" s="88" t="n"/>
      <c r="G313" s="88" t="n"/>
      <c r="H313" s="88" t="n"/>
      <c r="I313" s="88" t="n"/>
      <c r="J313" s="88" t="n"/>
      <c r="K313" s="88" t="n"/>
      <c r="L313" s="88" t="n"/>
      <c r="M313" s="88" t="n"/>
      <c r="N313" s="88" t="n"/>
      <c r="O313" s="88" t="n"/>
      <c r="P313" s="88" t="n"/>
      <c r="Q313" s="88" t="n"/>
      <c r="R313" s="482" t="n"/>
      <c r="S313" s="519" t="n"/>
      <c r="T313" s="519" t="n"/>
      <c r="U313" s="62" t="n"/>
      <c r="V313" s="62" t="n"/>
      <c r="W313" s="62" t="n"/>
      <c r="X313" s="62" t="n"/>
      <c r="Y313" s="62" t="n"/>
      <c r="Z313" s="16" t="n"/>
      <c r="AA313" s="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Z313" s="17" t="n"/>
      <c r="BA313" s="17" t="n"/>
      <c r="BB313" s="17" t="n"/>
    </row>
    <row r="314" ht="14.25" customHeight="1" s="429">
      <c r="A314" s="6" t="n"/>
      <c r="B314" s="88" t="n"/>
      <c r="C314" s="88" t="n"/>
      <c r="D314" s="88" t="n"/>
      <c r="E314" s="88" t="n"/>
      <c r="F314" s="88" t="n"/>
      <c r="G314" s="88" t="n"/>
      <c r="H314" s="88" t="n"/>
      <c r="I314" s="88" t="n"/>
      <c r="J314" s="88" t="n"/>
      <c r="K314" s="88" t="n"/>
      <c r="L314" s="88" t="n"/>
      <c r="M314" s="88" t="n"/>
      <c r="N314" s="88" t="n"/>
      <c r="O314" s="88" t="n"/>
      <c r="P314" s="88" t="n"/>
      <c r="Q314" s="88" t="n"/>
      <c r="R314" s="482" t="n"/>
      <c r="S314" s="519" t="n"/>
      <c r="T314" s="519" t="n"/>
      <c r="U314" s="62" t="n"/>
      <c r="V314" s="62" t="n"/>
      <c r="W314" s="62" t="n"/>
      <c r="X314" s="62" t="n"/>
      <c r="Y314" s="62" t="n"/>
      <c r="Z314" s="16" t="n"/>
      <c r="AA314" s="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Z314" s="17" t="n"/>
      <c r="BA314" s="17" t="n"/>
      <c r="BB314" s="17" t="n"/>
    </row>
    <row r="315">
      <c r="A315" s="6" t="n"/>
      <c r="B315" s="88" t="n"/>
      <c r="C315" s="88" t="n"/>
      <c r="D315" s="88" t="n"/>
      <c r="E315" s="88" t="n"/>
      <c r="F315" s="88" t="n"/>
      <c r="G315" s="88" t="n"/>
      <c r="H315" s="88" t="n"/>
      <c r="I315" s="88" t="n"/>
      <c r="J315" s="88" t="n"/>
      <c r="K315" s="88" t="n"/>
      <c r="L315" s="88" t="n"/>
      <c r="M315" s="88" t="n"/>
      <c r="N315" s="88" t="n"/>
      <c r="O315" s="88" t="n"/>
      <c r="P315" s="88" t="n"/>
      <c r="Q315" s="88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7" t="n"/>
      <c r="AB315" s="283" t="n"/>
      <c r="AC315" s="38" t="n"/>
      <c r="AD315" s="38" t="n"/>
      <c r="AE315" s="38" t="n"/>
      <c r="AF315" s="38" t="n"/>
      <c r="AG315" s="283" t="n"/>
      <c r="AH315" s="283" t="n"/>
      <c r="AI315" s="283" t="n"/>
      <c r="AJ315" s="283" t="n"/>
      <c r="AK315" s="283" t="n"/>
      <c r="AL315" s="283" t="n"/>
      <c r="AM315" s="283" t="n"/>
      <c r="AN315" s="283" t="n"/>
      <c r="AO315" s="283" t="n"/>
      <c r="AY315" s="283" t="n"/>
      <c r="AZ315" s="38" t="n"/>
      <c r="BA315" s="38" t="n"/>
      <c r="BB315" s="283" t="n"/>
    </row>
    <row r="316">
      <c r="A316" s="6" t="n"/>
      <c r="B316" s="88" t="n"/>
      <c r="C316" s="88" t="n"/>
      <c r="D316" s="88" t="n"/>
      <c r="E316" s="88" t="n"/>
      <c r="F316" s="88" t="n"/>
      <c r="G316" s="88" t="n"/>
      <c r="H316" s="88" t="n"/>
      <c r="I316" s="88" t="n"/>
      <c r="J316" s="88" t="n"/>
      <c r="K316" s="88" t="n"/>
      <c r="L316" s="88" t="n"/>
      <c r="M316" s="88" t="n"/>
      <c r="N316" s="88" t="n"/>
      <c r="O316" s="88" t="n"/>
      <c r="P316" s="88" t="n"/>
      <c r="Q316" s="88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7" t="n"/>
      <c r="AB316" s="283" t="n"/>
      <c r="AC316" s="38" t="n"/>
      <c r="AD316" s="38" t="n"/>
      <c r="AE316" s="38" t="n"/>
      <c r="AF316" s="38" t="n"/>
      <c r="AG316" s="283" t="n"/>
      <c r="AH316" s="283" t="n"/>
      <c r="AI316" s="283" t="n"/>
      <c r="AJ316" s="283" t="n"/>
      <c r="AK316" s="283" t="n"/>
      <c r="AL316" s="283" t="n"/>
      <c r="AM316" s="283" t="n"/>
      <c r="AN316" s="283" t="n"/>
      <c r="AO316" s="283" t="n"/>
      <c r="AY316" s="283" t="n"/>
      <c r="AZ316" s="38" t="n"/>
      <c r="BA316" s="38" t="n"/>
      <c r="BB316" s="283" t="n"/>
    </row>
    <row r="317">
      <c r="A317" s="6" t="n"/>
      <c r="B317" s="88" t="n"/>
      <c r="C317" s="88" t="n"/>
      <c r="D317" s="88" t="n"/>
      <c r="E317" s="88" t="n"/>
      <c r="F317" s="88" t="n"/>
      <c r="G317" s="88" t="n"/>
      <c r="H317" s="88" t="n"/>
      <c r="I317" s="88" t="n"/>
      <c r="J317" s="88" t="n"/>
      <c r="K317" s="88" t="n"/>
      <c r="L317" s="88" t="n"/>
      <c r="M317" s="88" t="n"/>
      <c r="N317" s="88" t="n"/>
      <c r="O317" s="88" t="n"/>
      <c r="P317" s="88" t="n"/>
      <c r="Q317" s="88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7" t="n"/>
      <c r="AB317" s="283" t="n"/>
      <c r="AC317" s="38" t="n"/>
      <c r="AD317" s="38" t="n"/>
      <c r="AE317" s="38" t="n"/>
      <c r="AF317" s="38" t="n"/>
      <c r="AG317" s="283" t="n"/>
      <c r="AH317" s="283" t="n"/>
      <c r="AI317" s="283" t="n"/>
      <c r="AJ317" s="283" t="n"/>
      <c r="AK317" s="283" t="n"/>
      <c r="AL317" s="283" t="n"/>
      <c r="AM317" s="283" t="n"/>
      <c r="AN317" s="283" t="n"/>
      <c r="AO317" s="283" t="n"/>
      <c r="AY317" s="283" t="n"/>
      <c r="AZ317" s="38" t="n"/>
      <c r="BA317" s="38" t="n"/>
      <c r="BB317" s="283" t="n"/>
    </row>
    <row r="318">
      <c r="A318" s="6" t="n"/>
      <c r="B318" s="88" t="n"/>
      <c r="C318" s="88" t="n"/>
      <c r="D318" s="88" t="n"/>
      <c r="E318" s="88" t="n"/>
      <c r="F318" s="88" t="n"/>
      <c r="G318" s="88" t="n"/>
      <c r="H318" s="88" t="n"/>
      <c r="I318" s="88" t="n"/>
      <c r="J318" s="88" t="n"/>
      <c r="K318" s="88" t="n"/>
      <c r="L318" s="88" t="n"/>
      <c r="M318" s="88" t="n"/>
      <c r="N318" s="88" t="n"/>
      <c r="O318" s="88" t="n"/>
      <c r="P318" s="88" t="n"/>
      <c r="Q318" s="88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7" t="n"/>
      <c r="AB318" s="283" t="n"/>
      <c r="AC318" s="38" t="n"/>
      <c r="AD318" s="38" t="n"/>
      <c r="AE318" s="38" t="n"/>
      <c r="AF318" s="38" t="n"/>
      <c r="AG318" s="283" t="n"/>
      <c r="AH318" s="283" t="n"/>
      <c r="AI318" s="283" t="n"/>
      <c r="AJ318" s="283" t="n"/>
      <c r="AK318" s="283" t="n"/>
      <c r="AL318" s="283" t="n"/>
      <c r="AM318" s="283" t="n"/>
      <c r="AN318" s="283" t="n"/>
      <c r="AO318" s="283" t="n"/>
      <c r="AY318" s="283" t="n"/>
      <c r="AZ318" s="38" t="n"/>
      <c r="BA318" s="38" t="n"/>
      <c r="BB318" s="283" t="n"/>
    </row>
    <row r="319">
      <c r="A319" s="6" t="n"/>
      <c r="B319" s="88" t="n"/>
      <c r="C319" s="88" t="n"/>
      <c r="D319" s="88" t="n"/>
      <c r="E319" s="88" t="n"/>
      <c r="F319" s="88" t="n"/>
      <c r="G319" s="88" t="n"/>
      <c r="H319" s="88" t="n"/>
      <c r="I319" s="88" t="n"/>
      <c r="J319" s="88" t="n"/>
      <c r="K319" s="88" t="n"/>
      <c r="L319" s="88" t="n"/>
      <c r="M319" s="88" t="n"/>
      <c r="N319" s="88" t="n"/>
      <c r="O319" s="88" t="n"/>
      <c r="P319" s="88" t="n"/>
      <c r="Q319" s="88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7" t="n"/>
      <c r="AB319" s="283" t="n"/>
      <c r="AC319" s="38" t="n"/>
      <c r="AD319" s="38" t="n"/>
      <c r="AE319" s="38" t="n"/>
      <c r="AF319" s="38" t="n"/>
      <c r="AG319" s="283" t="n"/>
      <c r="AH319" s="283" t="n"/>
      <c r="AI319" s="283" t="n"/>
      <c r="AJ319" s="283" t="n"/>
      <c r="AK319" s="283" t="n"/>
      <c r="AL319" s="283" t="n"/>
      <c r="AM319" s="283" t="n"/>
      <c r="AN319" s="283" t="n"/>
      <c r="AO319" s="283" t="n"/>
      <c r="AY319" s="283" t="n"/>
      <c r="AZ319" s="38" t="n"/>
      <c r="BA319" s="38" t="n"/>
      <c r="BB319" s="283" t="n"/>
    </row>
    <row r="320">
      <c r="A320" s="6" t="n"/>
      <c r="B320" s="88" t="n"/>
      <c r="C320" s="88" t="n"/>
      <c r="D320" s="88" t="n"/>
      <c r="E320" s="88" t="n"/>
      <c r="F320" s="88" t="n"/>
      <c r="G320" s="88" t="n"/>
      <c r="H320" s="88" t="n"/>
      <c r="I320" s="88" t="n"/>
      <c r="J320" s="88" t="n"/>
      <c r="K320" s="88" t="n"/>
      <c r="L320" s="88" t="n"/>
      <c r="M320" s="88" t="n"/>
      <c r="N320" s="88" t="n"/>
      <c r="O320" s="88" t="n"/>
      <c r="P320" s="88" t="n"/>
      <c r="Q320" s="88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7" t="n"/>
      <c r="AB320" s="283" t="n"/>
      <c r="AC320" s="38" t="n"/>
      <c r="AD320" s="38" t="n"/>
      <c r="AE320" s="38" t="n"/>
      <c r="AF320" s="38" t="n"/>
      <c r="AG320" s="283" t="n"/>
      <c r="AH320" s="283" t="n"/>
      <c r="AI320" s="283" t="n"/>
      <c r="AJ320" s="283" t="n"/>
      <c r="AK320" s="283" t="n"/>
      <c r="AL320" s="283" t="n"/>
      <c r="AM320" s="283" t="n"/>
      <c r="AN320" s="283" t="n"/>
      <c r="AO320" s="283" t="n"/>
      <c r="AY320" s="283" t="n"/>
      <c r="AZ320" s="38" t="n"/>
      <c r="BA320" s="38" t="n"/>
      <c r="BB320" s="283" t="n"/>
    </row>
    <row r="321">
      <c r="A321" s="6" t="n"/>
      <c r="B321" s="88" t="n"/>
      <c r="C321" s="88" t="n"/>
      <c r="D321" s="88" t="n"/>
      <c r="E321" s="88" t="n"/>
      <c r="F321" s="88" t="n"/>
      <c r="G321" s="88" t="n"/>
      <c r="H321" s="88" t="n"/>
      <c r="I321" s="88" t="n"/>
      <c r="J321" s="88" t="n"/>
      <c r="K321" s="88" t="n"/>
      <c r="L321" s="88" t="n"/>
      <c r="M321" s="88" t="n"/>
      <c r="N321" s="88" t="n"/>
      <c r="O321" s="88" t="n"/>
      <c r="P321" s="88" t="n"/>
      <c r="Q321" s="88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7" t="n"/>
      <c r="AB321" s="283" t="n"/>
      <c r="AC321" s="38" t="n"/>
      <c r="AD321" s="38" t="n"/>
      <c r="AE321" s="38" t="n"/>
      <c r="AF321" s="38" t="n"/>
      <c r="AG321" s="283" t="n"/>
      <c r="AH321" s="283" t="n"/>
      <c r="AI321" s="283" t="n"/>
      <c r="AJ321" s="283" t="n"/>
      <c r="AK321" s="283" t="n"/>
      <c r="AL321" s="283" t="n"/>
      <c r="AM321" s="283" t="n"/>
      <c r="AN321" s="283" t="n"/>
      <c r="AO321" s="283" t="n"/>
      <c r="AY321" s="283" t="n"/>
      <c r="AZ321" s="38" t="n"/>
      <c r="BA321" s="38" t="n"/>
      <c r="BB321" s="283" t="n"/>
    </row>
    <row r="322">
      <c r="A322" s="6" t="n"/>
      <c r="B322" s="88" t="n"/>
      <c r="C322" s="88" t="n"/>
      <c r="D322" s="88" t="n"/>
      <c r="E322" s="88" t="n"/>
      <c r="F322" s="88" t="n"/>
      <c r="G322" s="88" t="n"/>
      <c r="H322" s="88" t="n"/>
      <c r="I322" s="88" t="n"/>
      <c r="J322" s="88" t="n"/>
      <c r="K322" s="88" t="n"/>
      <c r="L322" s="88" t="n"/>
      <c r="M322" s="88" t="n"/>
      <c r="N322" s="88" t="n"/>
      <c r="O322" s="88" t="n"/>
      <c r="P322" s="88" t="n"/>
      <c r="Q322" s="88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7" t="n"/>
      <c r="AB322" s="283" t="n"/>
      <c r="AC322" s="38" t="n"/>
      <c r="AD322" s="38" t="n"/>
      <c r="AE322" s="38" t="n"/>
      <c r="AF322" s="38" t="n"/>
      <c r="AG322" s="283" t="n"/>
      <c r="AH322" s="283" t="n"/>
      <c r="AI322" s="283" t="n"/>
      <c r="AJ322" s="283" t="n"/>
      <c r="AK322" s="283" t="n"/>
      <c r="AL322" s="283" t="n"/>
      <c r="AM322" s="283" t="n"/>
      <c r="AN322" s="283" t="n"/>
      <c r="AO322" s="283" t="n"/>
      <c r="AY322" s="283" t="n"/>
      <c r="AZ322" s="38" t="n"/>
      <c r="BA322" s="38" t="n"/>
      <c r="BB322" s="283" t="n"/>
    </row>
    <row r="323">
      <c r="A323" s="6" t="n"/>
      <c r="B323" s="88" t="n"/>
      <c r="C323" s="88" t="n"/>
      <c r="D323" s="88" t="n"/>
      <c r="E323" s="88" t="n"/>
      <c r="F323" s="88" t="n"/>
      <c r="G323" s="88" t="n"/>
      <c r="H323" s="88" t="n"/>
      <c r="I323" s="88" t="n"/>
      <c r="J323" s="88" t="n"/>
      <c r="K323" s="88" t="n"/>
      <c r="L323" s="88" t="n"/>
      <c r="M323" s="88" t="n"/>
      <c r="N323" s="88" t="n"/>
      <c r="O323" s="88" t="n"/>
      <c r="P323" s="88" t="n"/>
      <c r="Q323" s="88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7" t="n"/>
      <c r="AB323" s="283" t="n"/>
      <c r="AC323" s="38" t="n"/>
      <c r="AD323" s="38" t="n"/>
      <c r="AE323" s="38" t="n"/>
      <c r="AF323" s="38" t="n"/>
      <c r="AG323" s="283" t="n"/>
      <c r="AH323" s="283" t="n"/>
      <c r="AI323" s="283" t="n"/>
      <c r="AJ323" s="283" t="n"/>
      <c r="AK323" s="283" t="n"/>
      <c r="AL323" s="283" t="n"/>
      <c r="AM323" s="283" t="n"/>
      <c r="AN323" s="283" t="n"/>
      <c r="AO323" s="283" t="n"/>
      <c r="AY323" s="283" t="n"/>
      <c r="AZ323" s="38" t="n"/>
      <c r="BA323" s="38" t="n"/>
      <c r="BB323" s="283" t="n"/>
    </row>
    <row r="324">
      <c r="A324" s="6" t="n"/>
      <c r="B324" s="88" t="n"/>
      <c r="C324" s="88" t="n"/>
      <c r="D324" s="88" t="n"/>
      <c r="E324" s="88" t="n"/>
      <c r="F324" s="88" t="n"/>
      <c r="G324" s="88" t="n"/>
      <c r="H324" s="88" t="n"/>
      <c r="I324" s="88" t="n"/>
      <c r="J324" s="88" t="n"/>
      <c r="K324" s="88" t="n"/>
      <c r="L324" s="88" t="n"/>
      <c r="M324" s="88" t="n"/>
      <c r="N324" s="88" t="n"/>
      <c r="O324" s="88" t="n"/>
      <c r="P324" s="88" t="n"/>
      <c r="Q324" s="88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7" t="n"/>
      <c r="AB324" s="283" t="n"/>
      <c r="AC324" s="38" t="n"/>
      <c r="AD324" s="38" t="n"/>
      <c r="AE324" s="38" t="n"/>
      <c r="AF324" s="38" t="n"/>
      <c r="AG324" s="283" t="n"/>
      <c r="AH324" s="283" t="n"/>
      <c r="AI324" s="283" t="n"/>
      <c r="AJ324" s="283" t="n"/>
      <c r="AK324" s="283" t="n"/>
      <c r="AL324" s="283" t="n"/>
      <c r="AM324" s="283" t="n"/>
      <c r="AN324" s="283" t="n"/>
      <c r="AO324" s="283" t="n"/>
      <c r="AY324" s="283" t="n"/>
      <c r="AZ324" s="38" t="n"/>
      <c r="BA324" s="38" t="n"/>
      <c r="BB324" s="283" t="n"/>
    </row>
    <row r="325">
      <c r="A325" s="6" t="n"/>
      <c r="B325" s="88" t="n"/>
      <c r="C325" s="88" t="n"/>
      <c r="D325" s="88" t="n"/>
      <c r="E325" s="88" t="n"/>
      <c r="F325" s="88" t="n"/>
      <c r="G325" s="88" t="n"/>
      <c r="H325" s="88" t="n"/>
      <c r="I325" s="88" t="n"/>
      <c r="J325" s="88" t="n"/>
      <c r="K325" s="88" t="n"/>
      <c r="L325" s="88" t="n"/>
      <c r="M325" s="88" t="n"/>
      <c r="N325" s="88" t="n"/>
      <c r="O325" s="88" t="n"/>
      <c r="P325" s="88" t="n"/>
      <c r="Q325" s="88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7" t="n"/>
      <c r="AB325" s="283" t="n"/>
      <c r="AC325" s="38" t="n"/>
      <c r="AD325" s="38" t="n"/>
      <c r="AE325" s="38" t="n"/>
      <c r="AF325" s="38" t="n"/>
      <c r="AG325" s="283" t="n"/>
      <c r="AH325" s="283" t="n"/>
      <c r="AI325" s="283" t="n"/>
      <c r="AJ325" s="283" t="n"/>
      <c r="AK325" s="283" t="n"/>
      <c r="AL325" s="283" t="n"/>
      <c r="AM325" s="283" t="n"/>
      <c r="AN325" s="283" t="n"/>
      <c r="AO325" s="283" t="n"/>
      <c r="AY325" s="283" t="n"/>
      <c r="AZ325" s="38" t="n"/>
      <c r="BA325" s="38" t="n"/>
      <c r="BB325" s="283" t="n"/>
    </row>
    <row r="326">
      <c r="A326" s="6" t="n"/>
      <c r="B326" s="88" t="n"/>
      <c r="C326" s="88" t="n"/>
      <c r="D326" s="88" t="n"/>
      <c r="E326" s="88" t="n"/>
      <c r="F326" s="88" t="n"/>
      <c r="G326" s="88" t="n"/>
      <c r="H326" s="88" t="n"/>
      <c r="I326" s="88" t="n"/>
      <c r="J326" s="88" t="n"/>
      <c r="K326" s="88" t="n"/>
      <c r="L326" s="88" t="n"/>
      <c r="M326" s="88" t="n"/>
      <c r="N326" s="88" t="n"/>
      <c r="O326" s="88" t="n"/>
      <c r="P326" s="88" t="n"/>
      <c r="Q326" s="88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7" t="n"/>
      <c r="AB326" s="283" t="n"/>
      <c r="AC326" s="38" t="n"/>
      <c r="AD326" s="38" t="n"/>
      <c r="AE326" s="38" t="n"/>
      <c r="AF326" s="38" t="n"/>
      <c r="AG326" s="283" t="n"/>
      <c r="AH326" s="283" t="n"/>
      <c r="AI326" s="283" t="n"/>
      <c r="AJ326" s="283" t="n"/>
      <c r="AK326" s="283" t="n"/>
      <c r="AL326" s="283" t="n"/>
      <c r="AM326" s="283" t="n"/>
      <c r="AN326" s="283" t="n"/>
      <c r="AO326" s="283" t="n"/>
      <c r="AY326" s="283" t="n"/>
      <c r="AZ326" s="38" t="n"/>
      <c r="BA326" s="38" t="n"/>
      <c r="BB326" s="283" t="n"/>
    </row>
    <row r="327" ht="57" customHeight="1" s="429">
      <c r="A327" s="6" t="n"/>
      <c r="B327" s="88" t="n"/>
      <c r="C327" s="88" t="n"/>
      <c r="D327" s="88" t="n"/>
      <c r="E327" s="88" t="n"/>
      <c r="F327" s="88" t="n"/>
      <c r="G327" s="88" t="n"/>
      <c r="H327" s="88" t="n"/>
      <c r="I327" s="88" t="n"/>
      <c r="J327" s="88" t="n"/>
      <c r="K327" s="88" t="n"/>
      <c r="L327" s="88" t="n"/>
      <c r="M327" s="88" t="n"/>
      <c r="N327" s="88" t="n"/>
      <c r="O327" s="88" t="n"/>
      <c r="P327" s="88" t="n"/>
      <c r="Q327" s="88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7" t="n"/>
      <c r="AB327" s="283" t="n"/>
      <c r="AC327" s="38" t="n"/>
      <c r="AD327" s="38" t="n"/>
      <c r="AE327" s="38" t="n"/>
      <c r="AF327" s="38" t="n"/>
      <c r="AG327" s="283" t="n"/>
      <c r="AH327" s="283" t="n"/>
      <c r="AI327" s="283" t="n"/>
      <c r="AJ327" s="283" t="n"/>
      <c r="AK327" s="283" t="n"/>
      <c r="AL327" s="283" t="n"/>
      <c r="AM327" s="283" t="n"/>
      <c r="AN327" s="283" t="n"/>
      <c r="AO327" s="283" t="n"/>
      <c r="AY327" s="283" t="n"/>
      <c r="AZ327" s="38" t="n"/>
      <c r="BA327" s="38" t="n"/>
      <c r="BB327" s="283" t="n"/>
    </row>
    <row r="328" ht="57" customHeight="1" s="429">
      <c r="A328" s="6" t="n"/>
      <c r="B328" s="16" t="n"/>
      <c r="C328" s="60" t="n"/>
      <c r="D328" s="60" t="n"/>
      <c r="E328" s="60" t="n"/>
      <c r="F328" s="60" t="n"/>
      <c r="G328" s="60" t="n"/>
      <c r="H328" s="60" t="n"/>
      <c r="I328" s="60" t="n"/>
      <c r="J328" s="140" t="n"/>
      <c r="K328" s="140" t="n"/>
      <c r="L328" s="140" t="n"/>
      <c r="M328" s="140" t="n"/>
      <c r="N328" s="60" t="n"/>
      <c r="O328" s="60" t="n"/>
      <c r="P328" s="60" t="n"/>
      <c r="Q328" s="60" t="n"/>
      <c r="R328" s="60" t="n"/>
      <c r="S328" s="60" t="n"/>
      <c r="T328" s="60" t="n"/>
      <c r="U328" s="60" t="n"/>
      <c r="V328" s="140" t="n"/>
      <c r="W328" s="140" t="n"/>
      <c r="X328" s="140" t="n"/>
      <c r="Y328" s="140" t="n"/>
      <c r="Z328" s="16" t="n"/>
      <c r="AA328" s="7" t="n"/>
    </row>
    <row r="329" ht="16.95" customHeight="1" s="429">
      <c r="A329" s="6" t="n"/>
      <c r="B329" s="16" t="n"/>
      <c r="C329" s="166" t="inlineStr">
        <is>
          <t>Belt Span Natural Frequency [Hz]</t>
        </is>
      </c>
      <c r="R329" s="108" t="n"/>
      <c r="S329" s="329" t="n"/>
      <c r="T329" s="439" t="n"/>
      <c r="U329" s="439" t="n"/>
      <c r="V329" s="439" t="n"/>
      <c r="W329" s="439" t="n"/>
      <c r="X329" s="439" t="n"/>
      <c r="Y329" s="447" t="n"/>
      <c r="Z329" s="16" t="n"/>
      <c r="AA329" s="7" t="n"/>
    </row>
    <row r="330" ht="16.95" customHeight="1" s="429">
      <c r="A330" s="6" t="n"/>
      <c r="B330" s="16" t="n"/>
      <c r="C330" s="452">
        <f>C198</f>
        <v/>
      </c>
      <c r="D330" s="440" t="n"/>
      <c r="E330" s="558">
        <f>CONCATENATE(ROUND(MIN([2]Analysis!AJ140:AJ156),1),"～",ROUND(MAX([2]Analysis!AJ140:AJ156),1),"  [Hz]")</f>
        <v/>
      </c>
      <c r="F330" s="440" t="n"/>
      <c r="G330" s="440" t="n"/>
      <c r="H330" s="440" t="n"/>
      <c r="I330" s="442" t="n"/>
      <c r="J330" s="463">
        <f>K198</f>
        <v/>
      </c>
      <c r="K330" s="442" t="n"/>
      <c r="L330" s="463">
        <f>CONCATENATE(ROUND(MIN([2]Analysis!AN140:AN156),1),"～",ROUND(MAX([2]Analysis!AN140:AN156),1),"  [Hz]")</f>
        <v/>
      </c>
      <c r="M330" s="440" t="n"/>
      <c r="N330" s="440" t="n"/>
      <c r="O330" s="440" t="n"/>
      <c r="P330" s="442" t="n"/>
      <c r="Q330" s="463">
        <f>S198</f>
        <v/>
      </c>
      <c r="R330" s="442" t="n"/>
      <c r="S330" s="452">
        <f>CONCATENATE(ROUND(MIN([2]Analysis!AR140:AR156),1),"～",ROUND(MAX([2]Analysis!AR140:AR156),1),"  [Hz]")</f>
        <v/>
      </c>
      <c r="T330" s="440" t="n"/>
      <c r="U330" s="440" t="n"/>
      <c r="V330" s="440" t="n"/>
      <c r="W330" s="463" t="inlineStr">
        <is>
          <t>Tensioner (F.)</t>
        </is>
      </c>
      <c r="X330" s="440" t="n"/>
      <c r="Y330" s="442" t="n"/>
      <c r="Z330" s="16" t="n"/>
      <c r="AA330" s="7" t="n"/>
    </row>
    <row r="331" ht="16.95" customHeight="1" s="429">
      <c r="A331" s="6" t="n"/>
      <c r="B331" s="16" t="n"/>
      <c r="C331" s="452">
        <f>C199</f>
        <v/>
      </c>
      <c r="D331" s="440" t="n"/>
      <c r="E331" s="163">
        <f>CONCATENATE(ROUND(MIN([2]Analysis!AK140:AK156),1),"～",ROUND(MAX([2]Analysis!AK140:AK156),1),"  [Hz]")</f>
        <v/>
      </c>
      <c r="F331" s="440" t="n"/>
      <c r="G331" s="440" t="n"/>
      <c r="H331" s="440" t="n"/>
      <c r="I331" s="442" t="n"/>
      <c r="J331" s="463">
        <f>K199</f>
        <v/>
      </c>
      <c r="K331" s="442" t="n"/>
      <c r="L331" s="463">
        <f>CONCATENATE(ROUND(MIN([2]Analysis!AO140:AO156),1),"～",ROUND(MAX([2]Analysis!AO140:AO156),1),"  [Hz]")</f>
        <v/>
      </c>
      <c r="M331" s="440" t="n"/>
      <c r="N331" s="440" t="n"/>
      <c r="O331" s="440" t="n"/>
      <c r="P331" s="442" t="n"/>
      <c r="Q331" s="463">
        <f>S199</f>
        <v/>
      </c>
      <c r="R331" s="442" t="n"/>
      <c r="S331" s="452">
        <f>CONCATENATE(ROUND(MIN([2]Analysis!AS140:AS156),1),"～",ROUND(MAX([2]Analysis!AS140:AS156),1),"  [Hz]")</f>
        <v/>
      </c>
      <c r="T331" s="440" t="n"/>
      <c r="U331" s="440" t="n"/>
      <c r="V331" s="440" t="n"/>
      <c r="W331" s="463">
        <f>CONCATENATE(ROUND(3*[2]Analysis!AD137,0)," [Hz]")</f>
        <v/>
      </c>
      <c r="X331" s="440" t="n"/>
      <c r="Y331" s="442" t="n"/>
      <c r="Z331" s="16" t="n"/>
      <c r="AA331" s="7" t="n"/>
    </row>
    <row r="332" ht="16.95" customHeight="1" s="429">
      <c r="A332" s="6" t="n"/>
      <c r="B332" s="16" t="n"/>
      <c r="C332" s="452">
        <f>C200</f>
        <v/>
      </c>
      <c r="D332" s="440" t="n"/>
      <c r="E332" s="163">
        <f>CONCATENATE(ROUND(MIN([2]Analysis!AL140:AL156),1),"～",ROUND(MAX([2]Analysis!AL140:AL156),1),"  [Hz]")</f>
        <v/>
      </c>
      <c r="F332" s="440" t="n"/>
      <c r="G332" s="440" t="n"/>
      <c r="H332" s="440" t="n"/>
      <c r="I332" s="442" t="n"/>
      <c r="J332" s="463">
        <f>K200</f>
        <v/>
      </c>
      <c r="K332" s="442" t="n"/>
      <c r="L332" s="463">
        <f>CONCATENATE(ROUND(MIN([2]Analysis!AP140:AP156),1),"～",ROUND(MAX([2]Analysis!AP140:AP156),1),"  [Hz]")</f>
        <v/>
      </c>
      <c r="M332" s="440" t="n"/>
      <c r="N332" s="440" t="n"/>
      <c r="O332" s="440" t="n"/>
      <c r="P332" s="442" t="n"/>
      <c r="Q332" s="162" t="inlineStr">
        <is>
          <t>Engine order2</t>
        </is>
      </c>
      <c r="R332" s="440" t="n"/>
      <c r="S332" s="442" t="n"/>
      <c r="T332" s="163">
        <f>W334</f>
        <v/>
      </c>
      <c r="U332" s="442" t="n"/>
      <c r="V332" s="522" t="inlineStr">
        <is>
          <t>Idle RPM</t>
        </is>
      </c>
      <c r="W332" s="440" t="n"/>
      <c r="X332" s="148">
        <f>CONCATENATE(ROUND(OFFSET([2]Analysis!AE139,MATCH(T332,[2]Analysis!AH140:AH156,0),0),0)," [Hz]")</f>
        <v/>
      </c>
      <c r="Y332" s="442" t="n"/>
      <c r="Z332" s="16" t="n"/>
      <c r="AA332" s="7" t="n"/>
    </row>
    <row r="333" ht="16.95" customHeight="1" s="429">
      <c r="A333" s="6" t="n"/>
      <c r="B333" s="16" t="n"/>
      <c r="C333" s="559">
        <f>C201</f>
        <v/>
      </c>
      <c r="D333" s="459" t="n"/>
      <c r="E333" s="163">
        <f>CONCATENATE(ROUND(MIN([2]Analysis!AM140:AM156),1),"～",ROUND(MAX([2]Analysis!AM140:AM156),1),"  [Hz]")</f>
        <v/>
      </c>
      <c r="F333" s="440" t="n"/>
      <c r="G333" s="440" t="n"/>
      <c r="H333" s="440" t="n"/>
      <c r="I333" s="442" t="n"/>
      <c r="J333" s="463">
        <f>K201</f>
        <v/>
      </c>
      <c r="K333" s="442" t="n"/>
      <c r="L333" s="463">
        <f>CONCATENATE(ROUND(MIN([2]Analysis!AQ140:AQ156),1),"～",ROUND(MAX([2]Analysis!AQ140:AQ156),1),"  [Hz]")</f>
        <v/>
      </c>
      <c r="M333" s="440" t="n"/>
      <c r="N333" s="440" t="n"/>
      <c r="O333" s="440" t="n"/>
      <c r="P333" s="442" t="n"/>
      <c r="Q333" s="162" t="inlineStr">
        <is>
          <t>Engine order3</t>
        </is>
      </c>
      <c r="R333" s="440" t="n"/>
      <c r="S333" s="442" t="n"/>
      <c r="T333" s="163">
        <f>W334</f>
        <v/>
      </c>
      <c r="U333" s="442" t="n"/>
      <c r="V333" s="522" t="inlineStr">
        <is>
          <t>Idle RPM</t>
        </is>
      </c>
      <c r="W333" s="440" t="n"/>
      <c r="X333" s="148">
        <f>CONCATENATE(ROUND(OFFSET([2]Analysis!AD139,MATCH(T333,[2]Analysis!AH140:AH156,0),0),0)," [Hz]")</f>
        <v/>
      </c>
      <c r="Y333" s="442" t="n"/>
      <c r="Z333" s="16" t="n"/>
      <c r="AA333" s="7" t="n"/>
    </row>
    <row r="334" ht="16.95" customHeight="1" s="429">
      <c r="A334" s="6" t="n"/>
      <c r="B334" s="16" t="n"/>
      <c r="C334" s="144">
        <f>CONCATENATE("Belt Spans Frequency Window: ",ROUND(MIN([2]Analysis!AJ140:AS156),1),"～",ROUND(MAX([2]Analysis!AJ140:AS156),1),"  [Hz]")</f>
        <v/>
      </c>
      <c r="D334" s="440" t="n"/>
      <c r="E334" s="440" t="n"/>
      <c r="F334" s="440" t="n"/>
      <c r="G334" s="440" t="n"/>
      <c r="H334" s="440" t="n"/>
      <c r="I334" s="440" t="n"/>
      <c r="J334" s="440" t="n"/>
      <c r="K334" s="440" t="n"/>
      <c r="L334" s="440" t="n"/>
      <c r="M334" s="440" t="n"/>
      <c r="N334" s="440" t="n"/>
      <c r="O334" s="146" t="inlineStr">
        <is>
          <t xml:space="preserve">Engine Idle Speed Interval: </t>
        </is>
      </c>
      <c r="P334" s="440" t="n"/>
      <c r="Q334" s="440" t="n"/>
      <c r="R334" s="440" t="n"/>
      <c r="S334" s="440" t="n"/>
      <c r="T334" s="440" t="n"/>
      <c r="U334" s="234">
        <f>[2]负载输入!B22</f>
        <v/>
      </c>
      <c r="V334" s="145" t="inlineStr">
        <is>
          <t>～</t>
        </is>
      </c>
      <c r="W334" s="141">
        <f>[2]负载输入!C22</f>
        <v/>
      </c>
      <c r="X334" s="148" t="inlineStr">
        <is>
          <t>[rpm]</t>
        </is>
      </c>
      <c r="Y334" s="442" t="n"/>
      <c r="Z334" s="16" t="n"/>
      <c r="AA334" s="7" t="n"/>
    </row>
    <row r="335" ht="15.75" customHeight="1" s="429">
      <c r="A335" s="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7" t="n"/>
    </row>
    <row r="336" ht="28.5" customHeight="1" s="429">
      <c r="A336" s="6" t="n"/>
      <c r="B336" s="560" t="inlineStr">
        <is>
          <t xml:space="preserve">Note: </t>
        </is>
      </c>
      <c r="D336" s="561" t="inlineStr">
        <is>
          <t>If Engine Idle is near spans frequency window,then accessory drive system may have excessive vibration.</t>
        </is>
      </c>
      <c r="AA336" s="7" t="n"/>
    </row>
    <row r="337" ht="18.75" customHeight="1" s="429" thickBot="1">
      <c r="A337" s="42" t="n"/>
      <c r="B337" s="43" t="n"/>
      <c r="C337" s="562" t="n"/>
      <c r="D337" s="563" t="inlineStr">
        <is>
          <t>If Engine Idle is within spans frequency window,then span vibration may have excessive amplitude.</t>
        </is>
      </c>
      <c r="E337" s="437" t="n"/>
      <c r="F337" s="437" t="n"/>
      <c r="G337" s="437" t="n"/>
      <c r="H337" s="437" t="n"/>
      <c r="I337" s="437" t="n"/>
      <c r="J337" s="437" t="n"/>
      <c r="K337" s="437" t="n"/>
      <c r="L337" s="437" t="n"/>
      <c r="M337" s="437" t="n"/>
      <c r="N337" s="437" t="n"/>
      <c r="O337" s="437" t="n"/>
      <c r="P337" s="437" t="n"/>
      <c r="Q337" s="437" t="n"/>
      <c r="R337" s="437" t="n"/>
      <c r="S337" s="437" t="n"/>
      <c r="T337" s="437" t="n"/>
      <c r="U337" s="437" t="n"/>
      <c r="V337" s="437" t="n"/>
      <c r="W337" s="437" t="n"/>
      <c r="X337" s="437" t="n"/>
      <c r="Y337" s="437" t="n"/>
      <c r="Z337" s="437" t="n"/>
      <c r="AA337" s="46" t="n"/>
    </row>
  </sheetData>
  <mergeCells count="984">
    <mergeCell ref="K233:L233"/>
    <mergeCell ref="Y240:Z240"/>
    <mergeCell ref="Q235:R235"/>
    <mergeCell ref="C234:D234"/>
    <mergeCell ref="E234:F234"/>
    <mergeCell ref="K56:M56"/>
    <mergeCell ref="S241:T241"/>
    <mergeCell ref="C184:D184"/>
    <mergeCell ref="K241:L241"/>
    <mergeCell ref="U241:V241"/>
    <mergeCell ref="M241:N241"/>
    <mergeCell ref="E244:F244"/>
    <mergeCell ref="Q233:R233"/>
    <mergeCell ref="E236:F236"/>
    <mergeCell ref="F119:I119"/>
    <mergeCell ref="S243:T243"/>
    <mergeCell ref="U243:V243"/>
    <mergeCell ref="W58:Y58"/>
    <mergeCell ref="C173:D173"/>
    <mergeCell ref="L263:M263"/>
    <mergeCell ref="E173:F173"/>
    <mergeCell ref="Y250:Z250"/>
    <mergeCell ref="N263:O263"/>
    <mergeCell ref="D263:E263"/>
    <mergeCell ref="F263:G263"/>
    <mergeCell ref="W286:X286"/>
    <mergeCell ref="C38:H38"/>
    <mergeCell ref="C97:I97"/>
    <mergeCell ref="L333:P333"/>
    <mergeCell ref="N229:O229"/>
    <mergeCell ref="N200:O200"/>
    <mergeCell ref="D134:E134"/>
    <mergeCell ref="J265:K265"/>
    <mergeCell ref="L265:M265"/>
    <mergeCell ref="N265:O265"/>
    <mergeCell ref="O37:T37"/>
    <mergeCell ref="F121:G121"/>
    <mergeCell ref="W53:Y53"/>
    <mergeCell ref="T57:V57"/>
    <mergeCell ref="H158:L158"/>
    <mergeCell ref="L131:N131"/>
    <mergeCell ref="N258:O258"/>
    <mergeCell ref="J81:L81"/>
    <mergeCell ref="K234:L234"/>
    <mergeCell ref="R10:Z10"/>
    <mergeCell ref="C237:D237"/>
    <mergeCell ref="S198:U198"/>
    <mergeCell ref="H160:L160"/>
    <mergeCell ref="L266:M266"/>
    <mergeCell ref="N260:O260"/>
    <mergeCell ref="Y245:Z245"/>
    <mergeCell ref="C334:N334"/>
    <mergeCell ref="V96:X96"/>
    <mergeCell ref="E289:F289"/>
    <mergeCell ref="T58:V58"/>
    <mergeCell ref="C239:D239"/>
    <mergeCell ref="T54:V54"/>
    <mergeCell ref="K236:L236"/>
    <mergeCell ref="C110:I110"/>
    <mergeCell ref="S199:U199"/>
    <mergeCell ref="C290:D290"/>
    <mergeCell ref="X8:Y8"/>
    <mergeCell ref="D258:E258"/>
    <mergeCell ref="E290:F290"/>
    <mergeCell ref="W59:Y59"/>
    <mergeCell ref="K248:L248"/>
    <mergeCell ref="T333:U333"/>
    <mergeCell ref="Q59:S59"/>
    <mergeCell ref="O159:R159"/>
    <mergeCell ref="V333:W333"/>
    <mergeCell ref="L121:M121"/>
    <mergeCell ref="N121:O121"/>
    <mergeCell ref="K247:L247"/>
    <mergeCell ref="C242:D242"/>
    <mergeCell ref="C84:G84"/>
    <mergeCell ref="O161:R161"/>
    <mergeCell ref="W48:Y48"/>
    <mergeCell ref="O84:S84"/>
    <mergeCell ref="P229:Q229"/>
    <mergeCell ref="Q249:R249"/>
    <mergeCell ref="S274:T274"/>
    <mergeCell ref="Q48:S48"/>
    <mergeCell ref="F126:G126"/>
    <mergeCell ref="S249:T249"/>
    <mergeCell ref="Y233:Z233"/>
    <mergeCell ref="K249:L249"/>
    <mergeCell ref="B5:D5"/>
    <mergeCell ref="J11:K11"/>
    <mergeCell ref="K243:L243"/>
    <mergeCell ref="M243:N243"/>
    <mergeCell ref="C244:D244"/>
    <mergeCell ref="F132:H132"/>
    <mergeCell ref="X5:Y5"/>
    <mergeCell ref="U242:V242"/>
    <mergeCell ref="K49:M49"/>
    <mergeCell ref="E250:F250"/>
    <mergeCell ref="C94:I94"/>
    <mergeCell ref="X168:Y168"/>
    <mergeCell ref="M163:N163"/>
    <mergeCell ref="C181:D181"/>
    <mergeCell ref="M234:N234"/>
    <mergeCell ref="E237:F237"/>
    <mergeCell ref="G250:H250"/>
    <mergeCell ref="R224:S224"/>
    <mergeCell ref="T49:V49"/>
    <mergeCell ref="T301:V302"/>
    <mergeCell ref="T224:U224"/>
    <mergeCell ref="W294:X294"/>
    <mergeCell ref="U244:V244"/>
    <mergeCell ref="E187:F187"/>
    <mergeCell ref="C80:I80"/>
    <mergeCell ref="C174:D174"/>
    <mergeCell ref="D142:E142"/>
    <mergeCell ref="E174:F174"/>
    <mergeCell ref="W287:X287"/>
    <mergeCell ref="E239:F239"/>
    <mergeCell ref="C197:E197"/>
    <mergeCell ref="C189:D189"/>
    <mergeCell ref="E189:F189"/>
    <mergeCell ref="O95:U95"/>
    <mergeCell ref="E238:F238"/>
    <mergeCell ref="N266:O266"/>
    <mergeCell ref="G238:H238"/>
    <mergeCell ref="T50:V50"/>
    <mergeCell ref="F266:G266"/>
    <mergeCell ref="W289:X289"/>
    <mergeCell ref="Y289:Z289"/>
    <mergeCell ref="W239:X239"/>
    <mergeCell ref="V200:W200"/>
    <mergeCell ref="Q333:S333"/>
    <mergeCell ref="V121:W121"/>
    <mergeCell ref="F124:G124"/>
    <mergeCell ref="S247:T247"/>
    <mergeCell ref="U247:V247"/>
    <mergeCell ref="H161:L161"/>
    <mergeCell ref="K244:L244"/>
    <mergeCell ref="D139:E139"/>
    <mergeCell ref="F201:G201"/>
    <mergeCell ref="Y290:Z290"/>
    <mergeCell ref="H201:I201"/>
    <mergeCell ref="B11:I11"/>
    <mergeCell ref="Q49:S49"/>
    <mergeCell ref="E333:I333"/>
    <mergeCell ref="K237:L237"/>
    <mergeCell ref="S163:U163"/>
    <mergeCell ref="M237:N237"/>
    <mergeCell ref="X124:Z124"/>
    <mergeCell ref="K239:L239"/>
    <mergeCell ref="M239:N239"/>
    <mergeCell ref="L123:M123"/>
    <mergeCell ref="D259:E259"/>
    <mergeCell ref="N123:O123"/>
    <mergeCell ref="O115:T115"/>
    <mergeCell ref="F259:G259"/>
    <mergeCell ref="C331:D331"/>
    <mergeCell ref="W244:X244"/>
    <mergeCell ref="S331:V331"/>
    <mergeCell ref="X334:Y334"/>
    <mergeCell ref="D145:N153"/>
    <mergeCell ref="F261:G261"/>
    <mergeCell ref="F10:K10"/>
    <mergeCell ref="N195:R195"/>
    <mergeCell ref="S275:T275"/>
    <mergeCell ref="I136:K136"/>
    <mergeCell ref="L124:M124"/>
    <mergeCell ref="V124:W124"/>
    <mergeCell ref="L137:N137"/>
    <mergeCell ref="N124:O124"/>
    <mergeCell ref="W283:X283"/>
    <mergeCell ref="N53:P53"/>
    <mergeCell ref="Q54:S54"/>
    <mergeCell ref="Y283:Z283"/>
    <mergeCell ref="X115:Y115"/>
    <mergeCell ref="S277:T277"/>
    <mergeCell ref="W241:X241"/>
    <mergeCell ref="K242:L242"/>
    <mergeCell ref="W51:Y51"/>
    <mergeCell ref="T126:U126"/>
    <mergeCell ref="R301:S302"/>
    <mergeCell ref="I134:K134"/>
    <mergeCell ref="V126:W126"/>
    <mergeCell ref="F133:H133"/>
    <mergeCell ref="C245:D245"/>
    <mergeCell ref="N126:O126"/>
    <mergeCell ref="K50:M50"/>
    <mergeCell ref="H125:I125"/>
    <mergeCell ref="C44:H44"/>
    <mergeCell ref="F256:G256"/>
    <mergeCell ref="C108:J108"/>
    <mergeCell ref="H256:I256"/>
    <mergeCell ref="J119:K120"/>
    <mergeCell ref="I131:K131"/>
    <mergeCell ref="L132:N132"/>
    <mergeCell ref="S160:U160"/>
    <mergeCell ref="F135:H135"/>
    <mergeCell ref="C201:E201"/>
    <mergeCell ref="T225:U225"/>
    <mergeCell ref="C329:Q329"/>
    <mergeCell ref="N48:P48"/>
    <mergeCell ref="K58:M58"/>
    <mergeCell ref="E188:F188"/>
    <mergeCell ref="K52:M52"/>
    <mergeCell ref="C81:I81"/>
    <mergeCell ref="M250:N250"/>
    <mergeCell ref="B263:C263"/>
    <mergeCell ref="O250:P250"/>
    <mergeCell ref="E180:F180"/>
    <mergeCell ref="S330:V330"/>
    <mergeCell ref="E240:F240"/>
    <mergeCell ref="N225:Q225"/>
    <mergeCell ref="G240:H240"/>
    <mergeCell ref="E190:F190"/>
    <mergeCell ref="C306:S308"/>
    <mergeCell ref="C55:D55"/>
    <mergeCell ref="O96:U96"/>
    <mergeCell ref="Y303:Z303"/>
    <mergeCell ref="E182:F182"/>
    <mergeCell ref="K53:M53"/>
    <mergeCell ref="B258:C258"/>
    <mergeCell ref="G248:H248"/>
    <mergeCell ref="U234:V234"/>
    <mergeCell ref="I248:J248"/>
    <mergeCell ref="G235:H235"/>
    <mergeCell ref="Q57:S57"/>
    <mergeCell ref="O157:R157"/>
    <mergeCell ref="I235:J235"/>
    <mergeCell ref="C273:D273"/>
    <mergeCell ref="S288:T288"/>
    <mergeCell ref="K245:L245"/>
    <mergeCell ref="C52:D52"/>
    <mergeCell ref="B260:C260"/>
    <mergeCell ref="U288:V288"/>
    <mergeCell ref="E179:F179"/>
    <mergeCell ref="N54:P54"/>
    <mergeCell ref="C42:H42"/>
    <mergeCell ref="H54:J54"/>
    <mergeCell ref="W279:X279"/>
    <mergeCell ref="M159:N159"/>
    <mergeCell ref="N51:P51"/>
    <mergeCell ref="Q52:S52"/>
    <mergeCell ref="K55:M55"/>
    <mergeCell ref="N56:P56"/>
    <mergeCell ref="H56:J56"/>
    <mergeCell ref="M240:N240"/>
    <mergeCell ref="M161:N161"/>
    <mergeCell ref="W331:Y331"/>
    <mergeCell ref="J262:K262"/>
    <mergeCell ref="Y280:Z280"/>
    <mergeCell ref="W245:X245"/>
    <mergeCell ref="L262:M262"/>
    <mergeCell ref="Y274:Z274"/>
    <mergeCell ref="B336:C336"/>
    <mergeCell ref="W330:Y330"/>
    <mergeCell ref="O82:U82"/>
    <mergeCell ref="Y282:Z282"/>
    <mergeCell ref="U276:V276"/>
    <mergeCell ref="L138:N138"/>
    <mergeCell ref="F141:H141"/>
    <mergeCell ref="O235:P235"/>
    <mergeCell ref="F197:I197"/>
    <mergeCell ref="L10:Q10"/>
    <mergeCell ref="X116:Y116"/>
    <mergeCell ref="Y275:Z275"/>
    <mergeCell ref="S278:T278"/>
    <mergeCell ref="C50:D50"/>
    <mergeCell ref="E48:G49"/>
    <mergeCell ref="U278:V278"/>
    <mergeCell ref="D141:E141"/>
    <mergeCell ref="C286:D286"/>
    <mergeCell ref="D135:E135"/>
    <mergeCell ref="V158:X158"/>
    <mergeCell ref="H257:I257"/>
    <mergeCell ref="F122:G122"/>
    <mergeCell ref="Y277:Z277"/>
    <mergeCell ref="J257:K257"/>
    <mergeCell ref="F224:G224"/>
    <mergeCell ref="F136:H136"/>
    <mergeCell ref="I137:K137"/>
    <mergeCell ref="S197:U197"/>
    <mergeCell ref="K197:M197"/>
    <mergeCell ref="F199:G199"/>
    <mergeCell ref="P125:Q125"/>
    <mergeCell ref="E331:I331"/>
    <mergeCell ref="V160:X160"/>
    <mergeCell ref="R125:S125"/>
    <mergeCell ref="H199:I199"/>
    <mergeCell ref="P119:Q120"/>
    <mergeCell ref="U42:V42"/>
    <mergeCell ref="R119:S120"/>
    <mergeCell ref="W42:X42"/>
    <mergeCell ref="M238:N238"/>
    <mergeCell ref="O238:P238"/>
    <mergeCell ref="I139:K139"/>
    <mergeCell ref="K201:M201"/>
    <mergeCell ref="C267:W269"/>
    <mergeCell ref="B266:C266"/>
    <mergeCell ref="U240:V240"/>
    <mergeCell ref="E183:F183"/>
    <mergeCell ref="W240:X240"/>
    <mergeCell ref="D260:E260"/>
    <mergeCell ref="O240:P240"/>
    <mergeCell ref="J95:M95"/>
    <mergeCell ref="H58:J58"/>
    <mergeCell ref="O116:T116"/>
    <mergeCell ref="J110:K110"/>
    <mergeCell ref="W37:X37"/>
    <mergeCell ref="Q246:R246"/>
    <mergeCell ref="L110:M110"/>
    <mergeCell ref="Q58:S58"/>
    <mergeCell ref="N201:O201"/>
    <mergeCell ref="P201:Q201"/>
    <mergeCell ref="S246:T246"/>
    <mergeCell ref="G247:H247"/>
    <mergeCell ref="V332:W332"/>
    <mergeCell ref="X332:Y332"/>
    <mergeCell ref="B261:C261"/>
    <mergeCell ref="C157:G157"/>
    <mergeCell ref="X111:Y111"/>
    <mergeCell ref="D261:E261"/>
    <mergeCell ref="W235:X235"/>
    <mergeCell ref="Q248:R248"/>
    <mergeCell ref="S273:T273"/>
    <mergeCell ref="S248:T248"/>
    <mergeCell ref="C281:D281"/>
    <mergeCell ref="N122:O122"/>
    <mergeCell ref="U116:W116"/>
    <mergeCell ref="E59:G59"/>
    <mergeCell ref="J333:K333"/>
    <mergeCell ref="C280:D280"/>
    <mergeCell ref="I242:J242"/>
    <mergeCell ref="N57:P57"/>
    <mergeCell ref="C274:D274"/>
    <mergeCell ref="E280:F280"/>
    <mergeCell ref="E274:F274"/>
    <mergeCell ref="H57:J57"/>
    <mergeCell ref="O42:T42"/>
    <mergeCell ref="C224:E224"/>
    <mergeCell ref="C282:D282"/>
    <mergeCell ref="H163:L163"/>
    <mergeCell ref="E54:G54"/>
    <mergeCell ref="E186:F186"/>
    <mergeCell ref="V229:W229"/>
    <mergeCell ref="E275:F275"/>
    <mergeCell ref="N223:Q223"/>
    <mergeCell ref="E56:G56"/>
    <mergeCell ref="AF42:AG42"/>
    <mergeCell ref="O111:T111"/>
    <mergeCell ref="D336:Z336"/>
    <mergeCell ref="O241:P241"/>
    <mergeCell ref="C227:O227"/>
    <mergeCell ref="Q241:R241"/>
    <mergeCell ref="I244:J244"/>
    <mergeCell ref="I241:J241"/>
    <mergeCell ref="J125:K125"/>
    <mergeCell ref="S284:T284"/>
    <mergeCell ref="U284:V284"/>
    <mergeCell ref="T303:V303"/>
    <mergeCell ref="O243:P243"/>
    <mergeCell ref="V159:X159"/>
    <mergeCell ref="E330:I330"/>
    <mergeCell ref="V97:X97"/>
    <mergeCell ref="C104:V105"/>
    <mergeCell ref="U250:V250"/>
    <mergeCell ref="C53:D53"/>
    <mergeCell ref="U110:V110"/>
    <mergeCell ref="U44:V44"/>
    <mergeCell ref="W250:X250"/>
    <mergeCell ref="S286:T286"/>
    <mergeCell ref="W44:X44"/>
    <mergeCell ref="U286:V286"/>
    <mergeCell ref="X125:Z125"/>
    <mergeCell ref="W237:X237"/>
    <mergeCell ref="V161:X161"/>
    <mergeCell ref="C179:D179"/>
    <mergeCell ref="H200:I200"/>
    <mergeCell ref="S236:T236"/>
    <mergeCell ref="E332:I332"/>
    <mergeCell ref="H52:J52"/>
    <mergeCell ref="U279:V279"/>
    <mergeCell ref="B121:C121"/>
    <mergeCell ref="J258:K258"/>
    <mergeCell ref="R293:S293"/>
    <mergeCell ref="L258:M258"/>
    <mergeCell ref="W238:X238"/>
    <mergeCell ref="U281:V281"/>
    <mergeCell ref="W281:X281"/>
    <mergeCell ref="Y301:Z302"/>
    <mergeCell ref="J195:K195"/>
    <mergeCell ref="T121:U121"/>
    <mergeCell ref="J260:K260"/>
    <mergeCell ref="L260:M260"/>
    <mergeCell ref="E288:F288"/>
    <mergeCell ref="J96:L96"/>
    <mergeCell ref="S157:X157"/>
    <mergeCell ref="X229:Y229"/>
    <mergeCell ref="C59:D59"/>
    <mergeCell ref="T123:U123"/>
    <mergeCell ref="L126:M126"/>
    <mergeCell ref="T52:V52"/>
    <mergeCell ref="B122:E122"/>
    <mergeCell ref="V123:W123"/>
    <mergeCell ref="C223:G223"/>
    <mergeCell ref="L259:M259"/>
    <mergeCell ref="D264:E264"/>
    <mergeCell ref="F264:G264"/>
    <mergeCell ref="Q5:T5"/>
    <mergeCell ref="S234:T234"/>
    <mergeCell ref="C158:G158"/>
    <mergeCell ref="V82:X82"/>
    <mergeCell ref="H50:J50"/>
    <mergeCell ref="J121:K121"/>
    <mergeCell ref="C283:D283"/>
    <mergeCell ref="I245:J245"/>
    <mergeCell ref="L115:M115"/>
    <mergeCell ref="E283:F283"/>
    <mergeCell ref="E277:F277"/>
    <mergeCell ref="U236:V236"/>
    <mergeCell ref="K51:M51"/>
    <mergeCell ref="E51:G51"/>
    <mergeCell ref="Y235:Z235"/>
    <mergeCell ref="C285:D285"/>
    <mergeCell ref="E285:F285"/>
    <mergeCell ref="R299:X300"/>
    <mergeCell ref="T252:Y252"/>
    <mergeCell ref="W54:Y54"/>
    <mergeCell ref="R296:Z298"/>
    <mergeCell ref="Q242:R242"/>
    <mergeCell ref="E278:F278"/>
    <mergeCell ref="I36:J36"/>
    <mergeCell ref="L37:M37"/>
    <mergeCell ref="V223:Y223"/>
    <mergeCell ref="C250:D250"/>
    <mergeCell ref="W56:Y56"/>
    <mergeCell ref="I234:J234"/>
    <mergeCell ref="M236:N236"/>
    <mergeCell ref="C192:Q192"/>
    <mergeCell ref="Q244:R244"/>
    <mergeCell ref="S244:T244"/>
    <mergeCell ref="C96:I96"/>
    <mergeCell ref="P199:Q199"/>
    <mergeCell ref="S287:T287"/>
    <mergeCell ref="U287:V287"/>
    <mergeCell ref="J224:M224"/>
    <mergeCell ref="C231:Y231"/>
    <mergeCell ref="S201:U201"/>
    <mergeCell ref="I115:J115"/>
    <mergeCell ref="V162:X162"/>
    <mergeCell ref="C180:D180"/>
    <mergeCell ref="H266:I266"/>
    <mergeCell ref="V225:W225"/>
    <mergeCell ref="J266:K266"/>
    <mergeCell ref="C238:D238"/>
    <mergeCell ref="S289:T289"/>
    <mergeCell ref="M158:N158"/>
    <mergeCell ref="W280:X280"/>
    <mergeCell ref="O38:T38"/>
    <mergeCell ref="U289:V289"/>
    <mergeCell ref="U5:W5"/>
    <mergeCell ref="P200:Q200"/>
    <mergeCell ref="C182:D182"/>
    <mergeCell ref="S239:T239"/>
    <mergeCell ref="U239:V239"/>
    <mergeCell ref="J330:K330"/>
    <mergeCell ref="H159:L159"/>
    <mergeCell ref="E50:G50"/>
    <mergeCell ref="AD120:AE120"/>
    <mergeCell ref="R121:S121"/>
    <mergeCell ref="J124:K124"/>
    <mergeCell ref="D137:E137"/>
    <mergeCell ref="M160:N160"/>
    <mergeCell ref="Y246:Z246"/>
    <mergeCell ref="D131:E132"/>
    <mergeCell ref="Q247:R247"/>
    <mergeCell ref="N259:O259"/>
    <mergeCell ref="I247:J247"/>
    <mergeCell ref="W282:X282"/>
    <mergeCell ref="K246:L246"/>
    <mergeCell ref="C233:D233"/>
    <mergeCell ref="J332:K332"/>
    <mergeCell ref="L261:M261"/>
    <mergeCell ref="E52:G52"/>
    <mergeCell ref="Y248:Z248"/>
    <mergeCell ref="N261:O261"/>
    <mergeCell ref="L140:N140"/>
    <mergeCell ref="E273:F273"/>
    <mergeCell ref="L331:P331"/>
    <mergeCell ref="T53:V53"/>
    <mergeCell ref="S242:T242"/>
    <mergeCell ref="S200:U200"/>
    <mergeCell ref="H162:L162"/>
    <mergeCell ref="T55:V55"/>
    <mergeCell ref="N256:O256"/>
    <mergeCell ref="C82:I82"/>
    <mergeCell ref="L141:N141"/>
    <mergeCell ref="F123:G123"/>
    <mergeCell ref="J35:L35"/>
    <mergeCell ref="X121:Z121"/>
    <mergeCell ref="C187:D187"/>
    <mergeCell ref="B123:E123"/>
    <mergeCell ref="L116:M116"/>
    <mergeCell ref="AH35:AI35"/>
    <mergeCell ref="C111:I111"/>
    <mergeCell ref="X123:Z123"/>
    <mergeCell ref="U237:V237"/>
    <mergeCell ref="H157:L157"/>
    <mergeCell ref="C177:D177"/>
    <mergeCell ref="W247:X247"/>
    <mergeCell ref="X119:Z120"/>
    <mergeCell ref="E57:G57"/>
    <mergeCell ref="Y247:Z247"/>
    <mergeCell ref="Y241:Z241"/>
    <mergeCell ref="S162:U162"/>
    <mergeCell ref="R126:S126"/>
    <mergeCell ref="W276:X276"/>
    <mergeCell ref="W243:X243"/>
    <mergeCell ref="W43:X43"/>
    <mergeCell ref="F125:G125"/>
    <mergeCell ref="Y243:Z243"/>
    <mergeCell ref="E284:F284"/>
    <mergeCell ref="W57:Y57"/>
    <mergeCell ref="E58:G58"/>
    <mergeCell ref="L122:M122"/>
    <mergeCell ref="T48:V48"/>
    <mergeCell ref="J97:L97"/>
    <mergeCell ref="Y242:Z242"/>
    <mergeCell ref="I250:J250"/>
    <mergeCell ref="E286:F286"/>
    <mergeCell ref="K250:L250"/>
    <mergeCell ref="I44:J44"/>
    <mergeCell ref="J225:M225"/>
    <mergeCell ref="C240:D240"/>
    <mergeCell ref="C116:H116"/>
    <mergeCell ref="F120:G120"/>
    <mergeCell ref="C190:D190"/>
    <mergeCell ref="H120:I120"/>
    <mergeCell ref="E246:F246"/>
    <mergeCell ref="U290:V290"/>
    <mergeCell ref="E233:F233"/>
    <mergeCell ref="W110:Y110"/>
    <mergeCell ref="W290:X290"/>
    <mergeCell ref="R294:S294"/>
    <mergeCell ref="C248:D248"/>
    <mergeCell ref="K235:L235"/>
    <mergeCell ref="D138:E138"/>
    <mergeCell ref="C175:D175"/>
    <mergeCell ref="C235:D235"/>
    <mergeCell ref="E175:F175"/>
    <mergeCell ref="E248:F248"/>
    <mergeCell ref="E235:F235"/>
    <mergeCell ref="AH131:AJ131"/>
    <mergeCell ref="C198:E198"/>
    <mergeCell ref="C185:D185"/>
    <mergeCell ref="E247:F247"/>
    <mergeCell ref="E185:F185"/>
    <mergeCell ref="O85:Y93"/>
    <mergeCell ref="G241:H241"/>
    <mergeCell ref="D140:E140"/>
    <mergeCell ref="T124:U124"/>
    <mergeCell ref="W285:X285"/>
    <mergeCell ref="O43:T43"/>
    <mergeCell ref="Y285:Z285"/>
    <mergeCell ref="C115:H115"/>
    <mergeCell ref="I142:K142"/>
    <mergeCell ref="N197:Q197"/>
    <mergeCell ref="L264:M264"/>
    <mergeCell ref="G243:H243"/>
    <mergeCell ref="S158:U158"/>
    <mergeCell ref="I243:J243"/>
    <mergeCell ref="N59:P59"/>
    <mergeCell ref="N264:O264"/>
    <mergeCell ref="F198:G198"/>
    <mergeCell ref="C330:D330"/>
    <mergeCell ref="E5:H5"/>
    <mergeCell ref="N262:O262"/>
    <mergeCell ref="F262:G262"/>
    <mergeCell ref="N49:P49"/>
    <mergeCell ref="S245:T245"/>
    <mergeCell ref="C188:D188"/>
    <mergeCell ref="H262:I262"/>
    <mergeCell ref="U245:V245"/>
    <mergeCell ref="C37:H37"/>
    <mergeCell ref="W274:X274"/>
    <mergeCell ref="C332:D332"/>
    <mergeCell ref="S159:U159"/>
    <mergeCell ref="S195:T195"/>
    <mergeCell ref="N199:O199"/>
    <mergeCell ref="U195:V195"/>
    <mergeCell ref="AH36:AI36"/>
    <mergeCell ref="U238:V238"/>
    <mergeCell ref="Q332:S332"/>
    <mergeCell ref="W303:X303"/>
    <mergeCell ref="S161:U161"/>
    <mergeCell ref="O35:X35"/>
    <mergeCell ref="G246:H246"/>
    <mergeCell ref="W288:X288"/>
    <mergeCell ref="W278:X278"/>
    <mergeCell ref="Y278:Z278"/>
    <mergeCell ref="G236:H236"/>
    <mergeCell ref="C113:K113"/>
    <mergeCell ref="Y244:Z244"/>
    <mergeCell ref="F257:G257"/>
    <mergeCell ref="X201:Y201"/>
    <mergeCell ref="T59:V59"/>
    <mergeCell ref="S329:Y329"/>
    <mergeCell ref="L133:N133"/>
    <mergeCell ref="O79:U79"/>
    <mergeCell ref="O163:R163"/>
    <mergeCell ref="C195:G195"/>
    <mergeCell ref="L125:M125"/>
    <mergeCell ref="C279:D279"/>
    <mergeCell ref="Q50:S50"/>
    <mergeCell ref="L119:M120"/>
    <mergeCell ref="Y273:Z273"/>
    <mergeCell ref="N119:O120"/>
    <mergeCell ref="K238:L238"/>
    <mergeCell ref="T122:U122"/>
    <mergeCell ref="K59:M59"/>
    <mergeCell ref="T51:V51"/>
    <mergeCell ref="O81:U81"/>
    <mergeCell ref="H121:I121"/>
    <mergeCell ref="L43:M43"/>
    <mergeCell ref="C183:D183"/>
    <mergeCell ref="I5:K5"/>
    <mergeCell ref="K240:L240"/>
    <mergeCell ref="F131:H131"/>
    <mergeCell ref="I132:K132"/>
    <mergeCell ref="E177:F177"/>
    <mergeCell ref="K48:M48"/>
    <mergeCell ref="H123:I123"/>
    <mergeCell ref="U246:V246"/>
    <mergeCell ref="M246:N246"/>
    <mergeCell ref="C176:D176"/>
    <mergeCell ref="E249:F249"/>
    <mergeCell ref="U233:V233"/>
    <mergeCell ref="U37:V37"/>
    <mergeCell ref="E176:F176"/>
    <mergeCell ref="M233:N233"/>
    <mergeCell ref="O246:P246"/>
    <mergeCell ref="O160:R160"/>
    <mergeCell ref="O233:P233"/>
    <mergeCell ref="E241:F241"/>
    <mergeCell ref="C199:E199"/>
    <mergeCell ref="C247:D247"/>
    <mergeCell ref="C252:S252"/>
    <mergeCell ref="U248:V248"/>
    <mergeCell ref="C51:D51"/>
    <mergeCell ref="M248:N248"/>
    <mergeCell ref="C178:D178"/>
    <mergeCell ref="O65:Y78"/>
    <mergeCell ref="E178:F178"/>
    <mergeCell ref="U235:V235"/>
    <mergeCell ref="M235:N235"/>
    <mergeCell ref="O248:P248"/>
    <mergeCell ref="G234:H234"/>
    <mergeCell ref="C271:O271"/>
    <mergeCell ref="H53:J53"/>
    <mergeCell ref="J82:L82"/>
    <mergeCell ref="R11:Z11"/>
    <mergeCell ref="Q331:R331"/>
    <mergeCell ref="B13:H13"/>
    <mergeCell ref="Y293:Z293"/>
    <mergeCell ref="B1:H3"/>
    <mergeCell ref="H55:J55"/>
    <mergeCell ref="D256:E256"/>
    <mergeCell ref="Q330:R330"/>
    <mergeCell ref="V198:W198"/>
    <mergeCell ref="R271:Z271"/>
    <mergeCell ref="M162:N162"/>
    <mergeCell ref="Q55:S55"/>
    <mergeCell ref="X198:Y198"/>
    <mergeCell ref="N198:O198"/>
    <mergeCell ref="P198:Q198"/>
    <mergeCell ref="H263:I263"/>
    <mergeCell ref="J263:K263"/>
    <mergeCell ref="F142:H142"/>
    <mergeCell ref="O94:U94"/>
    <mergeCell ref="V122:W122"/>
    <mergeCell ref="J223:M223"/>
    <mergeCell ref="N52:P52"/>
    <mergeCell ref="F265:G265"/>
    <mergeCell ref="H265:I265"/>
    <mergeCell ref="C275:D275"/>
    <mergeCell ref="I43:K43"/>
    <mergeCell ref="M157:N157"/>
    <mergeCell ref="N125:O125"/>
    <mergeCell ref="I12:Z12"/>
    <mergeCell ref="V80:Y80"/>
    <mergeCell ref="Y276:Z276"/>
    <mergeCell ref="C333:D333"/>
    <mergeCell ref="J123:K123"/>
    <mergeCell ref="B259:C259"/>
    <mergeCell ref="B7:V8"/>
    <mergeCell ref="O234:P234"/>
    <mergeCell ref="D136:E136"/>
    <mergeCell ref="Y291:Z291"/>
    <mergeCell ref="B125:E125"/>
    <mergeCell ref="H48:J48"/>
    <mergeCell ref="E245:F245"/>
    <mergeCell ref="B119:E120"/>
    <mergeCell ref="I138:K138"/>
    <mergeCell ref="O236:P236"/>
    <mergeCell ref="G239:H239"/>
    <mergeCell ref="F200:G200"/>
    <mergeCell ref="C163:G163"/>
    <mergeCell ref="L11:Q11"/>
    <mergeCell ref="C208:T208"/>
    <mergeCell ref="S279:T279"/>
    <mergeCell ref="I140:K140"/>
    <mergeCell ref="Q53:S53"/>
    <mergeCell ref="F258:G258"/>
    <mergeCell ref="H258:I258"/>
    <mergeCell ref="J80:M80"/>
    <mergeCell ref="C33:H33"/>
    <mergeCell ref="L134:N134"/>
    <mergeCell ref="I133:K133"/>
    <mergeCell ref="S281:T281"/>
    <mergeCell ref="F137:H137"/>
    <mergeCell ref="X333:Y333"/>
    <mergeCell ref="N50:P50"/>
    <mergeCell ref="J79:M79"/>
    <mergeCell ref="P121:Q121"/>
    <mergeCell ref="Y288:Z288"/>
    <mergeCell ref="F260:G260"/>
    <mergeCell ref="K54:M54"/>
    <mergeCell ref="H124:I124"/>
    <mergeCell ref="H260:I260"/>
    <mergeCell ref="H195:I195"/>
    <mergeCell ref="K198:M198"/>
    <mergeCell ref="U38:V38"/>
    <mergeCell ref="U111:W111"/>
    <mergeCell ref="C186:D186"/>
    <mergeCell ref="W38:X38"/>
    <mergeCell ref="C35:H35"/>
    <mergeCell ref="E242:F242"/>
    <mergeCell ref="I135:K135"/>
    <mergeCell ref="C200:E200"/>
    <mergeCell ref="G242:H242"/>
    <mergeCell ref="F139:H139"/>
    <mergeCell ref="U274:V274"/>
    <mergeCell ref="H126:I126"/>
    <mergeCell ref="P123:Q123"/>
    <mergeCell ref="U249:V249"/>
    <mergeCell ref="C30:W32"/>
    <mergeCell ref="J126:K126"/>
    <mergeCell ref="W249:X249"/>
    <mergeCell ref="O249:P249"/>
    <mergeCell ref="V197:Y197"/>
    <mergeCell ref="M249:N249"/>
    <mergeCell ref="F138:H138"/>
    <mergeCell ref="Q243:R243"/>
    <mergeCell ref="G244:H244"/>
    <mergeCell ref="C129:N129"/>
    <mergeCell ref="I1:Z4"/>
    <mergeCell ref="B264:C264"/>
    <mergeCell ref="E181:F181"/>
    <mergeCell ref="X126:Z126"/>
    <mergeCell ref="G237:H237"/>
    <mergeCell ref="Y294:Z294"/>
    <mergeCell ref="Q234:R234"/>
    <mergeCell ref="I237:J237"/>
    <mergeCell ref="V224:W224"/>
    <mergeCell ref="C54:D54"/>
    <mergeCell ref="D257:E257"/>
    <mergeCell ref="B262:C262"/>
    <mergeCell ref="V199:W199"/>
    <mergeCell ref="C48:D49"/>
    <mergeCell ref="X199:Y199"/>
    <mergeCell ref="G245:H245"/>
    <mergeCell ref="E282:F282"/>
    <mergeCell ref="C277:D277"/>
    <mergeCell ref="I239:J239"/>
    <mergeCell ref="T293:V293"/>
    <mergeCell ref="C56:D56"/>
    <mergeCell ref="C276:D276"/>
    <mergeCell ref="I238:J238"/>
    <mergeCell ref="E276:F276"/>
    <mergeCell ref="K57:M57"/>
    <mergeCell ref="J331:K331"/>
    <mergeCell ref="O97:U97"/>
    <mergeCell ref="X200:Y200"/>
    <mergeCell ref="M242:N242"/>
    <mergeCell ref="D337:Z337"/>
    <mergeCell ref="C278:D278"/>
    <mergeCell ref="I13:Z13"/>
    <mergeCell ref="N55:P55"/>
    <mergeCell ref="Q56:S56"/>
    <mergeCell ref="I236:J236"/>
    <mergeCell ref="O247:P247"/>
    <mergeCell ref="M244:N244"/>
    <mergeCell ref="O244:P244"/>
    <mergeCell ref="V125:W125"/>
    <mergeCell ref="W284:X284"/>
    <mergeCell ref="T332:U332"/>
    <mergeCell ref="Y284:Z284"/>
    <mergeCell ref="C95:I95"/>
    <mergeCell ref="O237:P237"/>
    <mergeCell ref="R225:S225"/>
    <mergeCell ref="AF43:AG43"/>
    <mergeCell ref="X105:Y105"/>
    <mergeCell ref="H51:J51"/>
    <mergeCell ref="S280:T280"/>
    <mergeCell ref="U280:V280"/>
    <mergeCell ref="I141:K141"/>
    <mergeCell ref="L142:N142"/>
    <mergeCell ref="C288:D288"/>
    <mergeCell ref="O239:P239"/>
    <mergeCell ref="Q239:R239"/>
    <mergeCell ref="N58:P58"/>
    <mergeCell ref="H259:I259"/>
    <mergeCell ref="C40:K40"/>
    <mergeCell ref="C160:G160"/>
    <mergeCell ref="R123:S123"/>
    <mergeCell ref="J259:K259"/>
    <mergeCell ref="Y279:Z279"/>
    <mergeCell ref="W246:X246"/>
    <mergeCell ref="S282:T282"/>
    <mergeCell ref="C43:H43"/>
    <mergeCell ref="M247:N247"/>
    <mergeCell ref="U282:V282"/>
    <mergeCell ref="C167:V168"/>
    <mergeCell ref="W233:X233"/>
    <mergeCell ref="K199:M199"/>
    <mergeCell ref="G233:H233"/>
    <mergeCell ref="I233:J233"/>
    <mergeCell ref="H261:I261"/>
    <mergeCell ref="J261:K261"/>
    <mergeCell ref="C36:H36"/>
    <mergeCell ref="U275:V275"/>
    <mergeCell ref="W248:X248"/>
    <mergeCell ref="W275:X275"/>
    <mergeCell ref="F140:H140"/>
    <mergeCell ref="P124:Q124"/>
    <mergeCell ref="R124:S124"/>
    <mergeCell ref="S283:T283"/>
    <mergeCell ref="Q155:X155"/>
    <mergeCell ref="U277:V277"/>
    <mergeCell ref="L139:N139"/>
    <mergeCell ref="K200:M200"/>
    <mergeCell ref="O242:P242"/>
    <mergeCell ref="W277:X277"/>
    <mergeCell ref="P126:Q126"/>
    <mergeCell ref="AE142:AG142"/>
    <mergeCell ref="Q236:R236"/>
    <mergeCell ref="Y281:Z281"/>
    <mergeCell ref="J256:K256"/>
    <mergeCell ref="U43:V43"/>
    <mergeCell ref="L256:M256"/>
    <mergeCell ref="B257:C257"/>
    <mergeCell ref="G249:H249"/>
    <mergeCell ref="L135:N135"/>
    <mergeCell ref="H198:I198"/>
    <mergeCell ref="C159:G159"/>
    <mergeCell ref="W49:Y49"/>
    <mergeCell ref="Q250:R250"/>
    <mergeCell ref="S250:T250"/>
    <mergeCell ref="O162:R162"/>
    <mergeCell ref="R223:U223"/>
    <mergeCell ref="Q237:R237"/>
    <mergeCell ref="I240:J240"/>
    <mergeCell ref="S237:T237"/>
    <mergeCell ref="C85:M93"/>
    <mergeCell ref="T294:V294"/>
    <mergeCell ref="C57:D57"/>
    <mergeCell ref="C161:G161"/>
    <mergeCell ref="B265:C265"/>
    <mergeCell ref="D265:E265"/>
    <mergeCell ref="X31:Y31"/>
    <mergeCell ref="E184:F184"/>
    <mergeCell ref="J94:M94"/>
    <mergeCell ref="H59:J59"/>
    <mergeCell ref="Q51:S51"/>
    <mergeCell ref="V81:X81"/>
    <mergeCell ref="R291:X292"/>
    <mergeCell ref="S276:T276"/>
    <mergeCell ref="W234:X234"/>
    <mergeCell ref="Y234:Z234"/>
    <mergeCell ref="C284:D284"/>
    <mergeCell ref="C58:D58"/>
    <mergeCell ref="H122:I122"/>
    <mergeCell ref="W301:X302"/>
    <mergeCell ref="M245:N245"/>
    <mergeCell ref="Y286:Z286"/>
    <mergeCell ref="O245:P245"/>
    <mergeCell ref="U36:V36"/>
    <mergeCell ref="W236:X236"/>
    <mergeCell ref="W36:X36"/>
    <mergeCell ref="X268:Y268"/>
    <mergeCell ref="V95:Y95"/>
    <mergeCell ref="Y236:Z236"/>
    <mergeCell ref="C46:K46"/>
    <mergeCell ref="U115:W115"/>
    <mergeCell ref="O5:P5"/>
    <mergeCell ref="X122:Z122"/>
    <mergeCell ref="E279:F279"/>
    <mergeCell ref="I37:J37"/>
    <mergeCell ref="W52:Y52"/>
    <mergeCell ref="O110:T110"/>
    <mergeCell ref="Y287:Z287"/>
    <mergeCell ref="T56:V56"/>
    <mergeCell ref="S290:T290"/>
    <mergeCell ref="Q240:R240"/>
    <mergeCell ref="C118:P118"/>
    <mergeCell ref="K38:M38"/>
    <mergeCell ref="C65:M78"/>
    <mergeCell ref="V79:Y79"/>
    <mergeCell ref="U283:V283"/>
    <mergeCell ref="V163:X163"/>
    <mergeCell ref="C241:D241"/>
    <mergeCell ref="L330:P330"/>
    <mergeCell ref="N224:Q224"/>
    <mergeCell ref="S285:T285"/>
    <mergeCell ref="Y249:Z249"/>
    <mergeCell ref="U285:V285"/>
    <mergeCell ref="I249:J249"/>
    <mergeCell ref="O64:S64"/>
    <mergeCell ref="S235:T235"/>
    <mergeCell ref="H264:I264"/>
    <mergeCell ref="C243:D243"/>
    <mergeCell ref="L332:P332"/>
    <mergeCell ref="J264:K264"/>
    <mergeCell ref="E243:F243"/>
    <mergeCell ref="D133:E133"/>
    <mergeCell ref="O36:T36"/>
    <mergeCell ref="O334:T334"/>
    <mergeCell ref="L257:M257"/>
    <mergeCell ref="W293:X293"/>
    <mergeCell ref="H49:J49"/>
    <mergeCell ref="O80:U80"/>
    <mergeCell ref="J122:K122"/>
    <mergeCell ref="H224:I224"/>
    <mergeCell ref="N257:O257"/>
    <mergeCell ref="D262:E262"/>
    <mergeCell ref="Q245:R245"/>
    <mergeCell ref="L136:N136"/>
    <mergeCell ref="W50:Y50"/>
    <mergeCell ref="T125:U125"/>
    <mergeCell ref="O44:T44"/>
    <mergeCell ref="B124:E124"/>
    <mergeCell ref="C204:S206"/>
    <mergeCell ref="T119:U120"/>
    <mergeCell ref="V119:W120"/>
    <mergeCell ref="AE131:AG131"/>
    <mergeCell ref="Q238:R238"/>
    <mergeCell ref="S238:T238"/>
    <mergeCell ref="C311:T311"/>
    <mergeCell ref="C64:G64"/>
    <mergeCell ref="C162:G162"/>
    <mergeCell ref="C246:D246"/>
    <mergeCell ref="D266:E266"/>
    <mergeCell ref="F134:H134"/>
    <mergeCell ref="B126:E126"/>
    <mergeCell ref="AH142:AJ142"/>
    <mergeCell ref="W242:X242"/>
    <mergeCell ref="S240:T240"/>
    <mergeCell ref="C236:D236"/>
    <mergeCell ref="C226:Y226"/>
    <mergeCell ref="V94:Y94"/>
    <mergeCell ref="V201:W201"/>
    <mergeCell ref="C79:I79"/>
    <mergeCell ref="E53:G53"/>
    <mergeCell ref="B12:H12"/>
    <mergeCell ref="I42:M42"/>
    <mergeCell ref="Y237:Z237"/>
    <mergeCell ref="U273:V273"/>
    <mergeCell ref="W273:X273"/>
    <mergeCell ref="C287:D287"/>
    <mergeCell ref="E287:F287"/>
    <mergeCell ref="E281:F281"/>
    <mergeCell ref="P122:Q122"/>
    <mergeCell ref="R122:S122"/>
    <mergeCell ref="D121:E121"/>
    <mergeCell ref="E55:G55"/>
    <mergeCell ref="Y239:Z239"/>
    <mergeCell ref="C289:D289"/>
    <mergeCell ref="I38:J38"/>
    <mergeCell ref="R303:S303"/>
    <mergeCell ref="O158:R158"/>
    <mergeCell ref="Y238:Z238"/>
    <mergeCell ref="I246:J246"/>
    <mergeCell ref="L36:M36"/>
    <mergeCell ref="B10:E10"/>
    <mergeCell ref="C249:D249"/>
    <mergeCell ref="W55:Y55"/>
    <mergeCell ref="S233:T233"/>
  </mergeCells>
  <conditionalFormatting sqref="F121:G122 F124:G126 J122:Z122">
    <cfRule type="expression" priority="16" dxfId="10" stopIfTrue="1">
      <formula>$X$122="Error"</formula>
    </cfRule>
  </conditionalFormatting>
  <conditionalFormatting sqref="F133:H141">
    <cfRule type="expression" priority="25" dxfId="0">
      <formula>AND(W50="GROOVED", W51="Flat", ISNUMBER(F133), F133&lt;=75, F133&lt;&gt;0)</formula>
    </cfRule>
  </conditionalFormatting>
  <conditionalFormatting sqref="F133:H142">
    <cfRule type="expression" priority="22" dxfId="22">
      <formula>D133="NA"</formula>
    </cfRule>
    <cfRule type="cellIs" priority="23" operator="greaterThan" dxfId="0">
      <formula>300</formula>
    </cfRule>
  </conditionalFormatting>
  <conditionalFormatting sqref="F142:H142">
    <cfRule type="expression" priority="24" dxfId="0">
      <formula>AND(W59="GROOVED", $W$50="Flat", ISNUMBER(F142), F142&lt;=75, F142&lt;&gt;0)</formula>
    </cfRule>
  </conditionalFormatting>
  <conditionalFormatting sqref="F121:Z121">
    <cfRule type="expression" priority="15" dxfId="19">
      <formula>$X$121="no install"</formula>
    </cfRule>
  </conditionalFormatting>
  <conditionalFormatting sqref="J82:L82 J97:L97 V82:X82 V97:X97">
    <cfRule type="cellIs" priority="4" operator="equal" dxfId="18">
      <formula>""</formula>
    </cfRule>
    <cfRule type="cellIs" priority="5" operator="lessThanOrEqual" dxfId="0">
      <formula>0</formula>
    </cfRule>
    <cfRule type="cellIs" priority="6" operator="between" dxfId="2">
      <formula>0</formula>
      <formula>3</formula>
    </cfRule>
  </conditionalFormatting>
  <conditionalFormatting sqref="J126:M126">
    <cfRule type="expression" priority="20" dxfId="10" stopIfTrue="1">
      <formula>$AH$125&lt;$AI$125</formula>
    </cfRule>
    <cfRule type="expression" priority="21" dxfId="10" stopIfTrue="1">
      <formula>$AH$126="NO"</formula>
    </cfRule>
  </conditionalFormatting>
  <conditionalFormatting sqref="J224:M224">
    <cfRule type="cellIs" priority="18" operator="lessThan" dxfId="10" stopIfTrue="1">
      <formula>$V$224</formula>
    </cfRule>
  </conditionalFormatting>
  <conditionalFormatting sqref="J225:M225">
    <cfRule type="cellIs" priority="19" operator="lessThan" dxfId="10" stopIfTrue="1">
      <formula>$V$225</formula>
    </cfRule>
  </conditionalFormatting>
  <conditionalFormatting sqref="J124:Z124">
    <cfRule type="expression" priority="17" dxfId="10" stopIfTrue="1">
      <formula>$X$124="Error"</formula>
    </cfRule>
  </conditionalFormatting>
  <conditionalFormatting sqref="J125:Z125">
    <cfRule type="expression" priority="8" dxfId="10">
      <formula>$X$125="Error"</formula>
    </cfRule>
  </conditionalFormatting>
  <conditionalFormatting sqref="L116">
    <cfRule type="cellIs" priority="3" operator="lessThan" dxfId="0">
      <formula>0.05</formula>
    </cfRule>
  </conditionalFormatting>
  <conditionalFormatting sqref="M158:N163">
    <cfRule type="expression" priority="7" dxfId="0">
      <formula>AND(ISNUMBER(SEARCH("IDR", H158)), M158&lt;0.2)</formula>
    </cfRule>
    <cfRule type="expression" priority="12" dxfId="2">
      <formula>AND(H158="TEN",M158&lt;0.3,M158&gt;0.2)</formula>
    </cfRule>
    <cfRule type="expression" priority="13" dxfId="0">
      <formula>AND(H158="TEN",M158&lt;=0.2)</formula>
    </cfRule>
  </conditionalFormatting>
  <conditionalFormatting sqref="S158:S163">
    <cfRule type="expression" priority="11" dxfId="2">
      <formula>AND(ISNUMBER(S158),ABS(S158)&lt;0.8,ABS(S158)&gt;0.5)</formula>
    </cfRule>
    <cfRule type="expression" priority="14" dxfId="0">
      <formula>AND(ISNUMBER(S158), ABS(S158)&lt;=0.5)</formula>
    </cfRule>
  </conditionalFormatting>
  <conditionalFormatting sqref="V158:X163">
    <cfRule type="expression" priority="9" dxfId="0">
      <formula>AND(ISNUMBER(V158), ABS(V158)&lt;0.5)</formula>
    </cfRule>
    <cfRule type="expression" priority="10" dxfId="2">
      <formula>AND(ISNUMBER(V158),ABS(V158)&lt;0.8,ABS(V158)&gt;0.5)</formula>
    </cfRule>
  </conditionalFormatting>
  <conditionalFormatting sqref="X125:Z125">
    <cfRule type="expression" priority="2" dxfId="0">
      <formula>IF(ISNUMBER($X$125), OR(AND($X$125&gt;155, $X$125&lt;205), OR($X$125&gt;335, $X$125&lt;25)), FALSE)</formula>
    </cfRule>
  </conditionalFormatting>
  <conditionalFormatting sqref="Y303:Z303">
    <cfRule type="cellIs" priority="1" operator="lessThanOrEqual" dxfId="0">
      <formula>20000</formula>
    </cfRule>
  </conditionalFormatting>
  <printOptions horizontalCentered="1" verticalCentered="1"/>
  <pageMargins left="0" right="0" top="0" bottom="0" header="0" footer="0"/>
  <pageSetup orientation="portrait" paperSize="9" scale="80" verticalDpi="1200"/>
  <headerFooter alignWithMargins="0">
    <oddHeader/>
    <oddFooter>&amp;Cpage &amp;P of &amp;N</oddFooter>
    <evenHeader/>
    <evenFooter/>
    <firstHeader/>
    <firstFooter/>
  </headerFooter>
  <rowBreaks count="7" manualBreakCount="7">
    <brk id="60" min="0" max="26" man="1"/>
    <brk id="101" min="0" max="26" man="1"/>
    <brk id="154" min="0" max="26" man="1"/>
    <brk id="202" min="0" max="26" man="1"/>
    <brk id="251" min="0" max="26" man="1"/>
    <brk id="304" min="0" max="26" man="1"/>
    <brk id="337" min="0" max="26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wenjie kang</dc:creator>
  <dcterms:created xsi:type="dcterms:W3CDTF">2023-05-12T11:15:00Z</dcterms:created>
  <dcterms:modified xsi:type="dcterms:W3CDTF">2026-08-09T13:27:00Z</dcterms:modified>
  <cp:lastModifiedBy>wenjie kang</cp:lastModifiedBy>
  <cp:lastPrinted>2026-08-09T13:01:25Z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